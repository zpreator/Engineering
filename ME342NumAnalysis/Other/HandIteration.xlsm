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Engineering\ME342NumAnalysis\Other\"/>
    </mc:Choice>
  </mc:AlternateContent>
  <xr:revisionPtr revIDLastSave="0" documentId="13_ncr:1_{2F38A54A-0F91-42CB-A597-3EE9A2FF70E6}" xr6:coauthVersionLast="45" xr6:coauthVersionMax="45" xr10:uidLastSave="{00000000-0000-0000-0000-000000000000}"/>
  <bookViews>
    <workbookView xWindow="-108" yWindow="-108" windowWidth="23256" windowHeight="12576" xr2:uid="{8AAD77C3-8360-42E0-8AA8-B9230A28FA7A}"/>
  </bookViews>
  <sheets>
    <sheet name="Sheet1" sheetId="1" r:id="rId1"/>
  </sheets>
  <functionGroups builtInGroupCount="19"/>
  <calcPr calcId="191029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32" i="1" l="1"/>
  <c r="M132" i="1"/>
  <c r="M131" i="1"/>
  <c r="B132" i="1"/>
  <c r="K131" i="1"/>
  <c r="J131" i="1"/>
  <c r="A132" i="1"/>
  <c r="B118" i="1"/>
  <c r="M120" i="1"/>
  <c r="J117" i="1"/>
  <c r="M123" i="1"/>
  <c r="M121" i="1"/>
  <c r="C118" i="1"/>
  <c r="C117" i="1"/>
  <c r="K117" i="1"/>
  <c r="D118" i="1"/>
  <c r="D133" i="1" a="1"/>
  <c r="D131" i="1" a="1"/>
  <c r="C131" i="1" a="1"/>
  <c r="D133" i="1" l="1"/>
  <c r="D131" i="1"/>
  <c r="C131" i="1"/>
  <c r="E118" i="1"/>
  <c r="C95" i="1"/>
  <c r="E131" i="1" a="1"/>
  <c r="E131" i="1" l="1"/>
  <c r="M126" i="1"/>
  <c r="B110" i="1"/>
  <c r="B111" i="1"/>
  <c r="C111" i="1"/>
  <c r="D111" i="1"/>
  <c r="E111" i="1"/>
  <c r="C110" i="1"/>
  <c r="E110" i="1" s="1"/>
  <c r="E109" i="1"/>
  <c r="D109" i="1"/>
  <c r="G90" i="1"/>
  <c r="H90" i="1" s="1"/>
  <c r="I90" i="1" s="1"/>
  <c r="J90" i="1" s="1"/>
  <c r="J89" i="1"/>
  <c r="I89" i="1"/>
  <c r="H89" i="1"/>
  <c r="G89" i="1"/>
  <c r="G82" i="1"/>
  <c r="H82" i="1" s="1"/>
  <c r="I82" i="1" s="1"/>
  <c r="J82" i="1" s="1"/>
  <c r="K81" i="1"/>
  <c r="J81" i="1"/>
  <c r="I81" i="1"/>
  <c r="H81" i="1"/>
  <c r="G81" i="1"/>
  <c r="F131" i="1" a="1"/>
  <c r="F131" i="1" l="1"/>
  <c r="D110" i="1"/>
  <c r="K89" i="1"/>
  <c r="F90" i="1" s="1"/>
  <c r="B90" i="1"/>
  <c r="B91" i="1"/>
  <c r="B89" i="1"/>
  <c r="B96" i="1"/>
  <c r="B82" i="1"/>
  <c r="C81" i="1"/>
  <c r="G131" i="1" a="1"/>
  <c r="G131" i="1" l="1"/>
  <c r="C96" i="1"/>
  <c r="B97" i="1" s="1"/>
  <c r="H131" i="1" a="1"/>
  <c r="H131" i="1" l="1"/>
  <c r="K90" i="1"/>
  <c r="F91" i="1" s="1"/>
  <c r="C97" i="1"/>
  <c r="C82" i="1"/>
  <c r="B83" i="1" s="1"/>
  <c r="I131" i="1" a="1"/>
  <c r="I131" i="1" l="1"/>
  <c r="G91" i="1"/>
  <c r="H91" i="1" s="1"/>
  <c r="I91" i="1" s="1"/>
  <c r="J91" i="1" s="1"/>
  <c r="B98" i="1"/>
  <c r="F82" i="1"/>
  <c r="C83" i="1"/>
  <c r="B84" i="1" s="1"/>
  <c r="J76" i="1"/>
  <c r="K68" i="1"/>
  <c r="J68" i="1"/>
  <c r="L68" i="1"/>
  <c r="L71" i="1"/>
  <c r="K72" i="1"/>
  <c r="K70" i="1"/>
  <c r="K91" i="1" l="1"/>
  <c r="F92" i="1" s="1"/>
  <c r="B102" i="1"/>
  <c r="C98" i="1"/>
  <c r="B99" i="1" s="1"/>
  <c r="C84" i="1"/>
  <c r="B85" i="1"/>
  <c r="L75" i="1"/>
  <c r="L76" i="1" s="1"/>
  <c r="J75" i="1"/>
  <c r="J69" i="1"/>
  <c r="J70" i="1"/>
  <c r="J71" i="1"/>
  <c r="J72" i="1"/>
  <c r="J73" i="1"/>
  <c r="G92" i="1" l="1"/>
  <c r="H92" i="1" s="1"/>
  <c r="I92" i="1" s="1"/>
  <c r="J92" i="1" s="1"/>
  <c r="C99" i="1"/>
  <c r="B100" i="1"/>
  <c r="C100" i="1" s="1"/>
  <c r="B101" i="1" s="1"/>
  <c r="K82" i="1"/>
  <c r="F83" i="1" s="1"/>
  <c r="K75" i="1"/>
  <c r="K76" i="1" s="1"/>
  <c r="D69" i="1"/>
  <c r="E70" i="1"/>
  <c r="C101" i="1" l="1"/>
  <c r="F102" i="1"/>
  <c r="G102" i="1"/>
  <c r="K92" i="1"/>
  <c r="F93" i="1" s="1"/>
  <c r="G83" i="1"/>
  <c r="H83" i="1" s="1"/>
  <c r="I83" i="1" s="1"/>
  <c r="J83" i="1" s="1"/>
  <c r="C73" i="1"/>
  <c r="C68" i="1"/>
  <c r="G93" i="1" l="1"/>
  <c r="H93" i="1" s="1"/>
  <c r="I93" i="1" s="1"/>
  <c r="J93" i="1" s="1"/>
  <c r="K83" i="1"/>
  <c r="F84" i="1" s="1"/>
  <c r="E73" i="1"/>
  <c r="D73" i="1"/>
  <c r="E71" i="1"/>
  <c r="E69" i="1"/>
  <c r="D70" i="1"/>
  <c r="D71" i="1"/>
  <c r="D72" i="1"/>
  <c r="C69" i="1"/>
  <c r="C70" i="1"/>
  <c r="C71" i="1"/>
  <c r="G84" i="1" l="1"/>
  <c r="H84" i="1" s="1"/>
  <c r="I84" i="1" s="1"/>
  <c r="J84" i="1" s="1"/>
  <c r="F85" i="1"/>
  <c r="P49" i="1"/>
  <c r="Q43" i="1"/>
  <c r="Q49" i="1"/>
  <c r="O49" i="1"/>
  <c r="P43" i="1"/>
  <c r="O43" i="1"/>
  <c r="N43" i="1"/>
  <c r="K93" i="1" l="1"/>
  <c r="F94" i="1" s="1"/>
  <c r="P44" i="1"/>
  <c r="O44" i="1"/>
  <c r="O45" i="1"/>
  <c r="N49" i="1"/>
  <c r="N44" i="1"/>
  <c r="N45" i="1"/>
  <c r="N46" i="1"/>
  <c r="F44" i="1"/>
  <c r="G94" i="1" l="1"/>
  <c r="H94" i="1" s="1"/>
  <c r="I94" i="1" s="1"/>
  <c r="J94" i="1" s="1"/>
  <c r="K84" i="1"/>
  <c r="F43" i="1"/>
  <c r="D45" i="1"/>
  <c r="D46" i="1"/>
  <c r="D47" i="1"/>
  <c r="D44" i="1"/>
  <c r="C45" i="1"/>
  <c r="C46" i="1"/>
  <c r="C47" i="1"/>
  <c r="C44" i="1"/>
  <c r="K94" i="1" l="1"/>
  <c r="F95" i="1" s="1"/>
  <c r="K28" i="1"/>
  <c r="L28" i="1" s="1"/>
  <c r="K27" i="1"/>
  <c r="L27" i="1" s="1"/>
  <c r="L26" i="1"/>
  <c r="K26" i="1"/>
  <c r="G95" i="1" l="1"/>
  <c r="H95" i="1" s="1"/>
  <c r="I95" i="1" s="1"/>
  <c r="J95" i="1" s="1"/>
  <c r="F96" i="1"/>
  <c r="F101" i="1"/>
  <c r="G101" i="1"/>
  <c r="J24" i="1"/>
  <c r="B29" i="1" l="1"/>
  <c r="B28" i="1"/>
  <c r="B38" i="1"/>
  <c r="C38" i="1"/>
  <c r="B39" i="1" s="1"/>
  <c r="C39" i="1" s="1"/>
  <c r="B40" i="1" s="1"/>
  <c r="C40" i="1" s="1"/>
  <c r="B31" i="1"/>
  <c r="C31" i="1" s="1"/>
  <c r="B32" i="1" s="1"/>
  <c r="C32" i="1" s="1"/>
  <c r="B33" i="1" s="1"/>
  <c r="C33" i="1" s="1"/>
  <c r="B34" i="1" s="1"/>
  <c r="C34" i="1" s="1"/>
  <c r="B35" i="1" s="1"/>
  <c r="C35" i="1" s="1"/>
  <c r="B36" i="1" s="1"/>
  <c r="C36" i="1" s="1"/>
  <c r="B37" i="1" s="1"/>
  <c r="C37" i="1" s="1"/>
  <c r="K95" i="1" l="1"/>
  <c r="F30" i="1"/>
  <c r="E30" i="1"/>
  <c r="C29" i="1"/>
  <c r="B30" i="1" s="1"/>
  <c r="C30" i="1" s="1"/>
  <c r="C28" i="1"/>
  <c r="J21" i="1" l="1"/>
  <c r="L19" i="1"/>
  <c r="M19" i="1" s="1"/>
  <c r="J19" i="1"/>
  <c r="L18" i="1"/>
  <c r="Q17" i="1"/>
  <c r="O17" i="1"/>
  <c r="M18" i="1"/>
  <c r="K18" i="1"/>
  <c r="K19" i="1"/>
  <c r="P17" i="1"/>
  <c r="N18" i="1"/>
  <c r="O18" i="1" s="1"/>
  <c r="N19" i="1"/>
  <c r="O19" i="1" s="1"/>
  <c r="N17" i="1"/>
  <c r="M17" i="1"/>
  <c r="K17" i="1"/>
  <c r="P19" i="1" l="1"/>
  <c r="Q19" i="1" s="1"/>
  <c r="P18" i="1"/>
  <c r="Q18" i="1" s="1"/>
  <c r="B11" i="1"/>
  <c r="E22" i="1"/>
  <c r="C22" i="1"/>
  <c r="B23" i="1"/>
  <c r="C23" i="1" s="1"/>
  <c r="G8" i="1"/>
  <c r="G9" i="1"/>
  <c r="G7" i="1"/>
  <c r="C18" i="1"/>
  <c r="C19" i="1"/>
  <c r="E18" i="1"/>
  <c r="E19" i="1"/>
  <c r="E17" i="1"/>
  <c r="C17" i="1"/>
  <c r="F19" i="1"/>
  <c r="G19" i="1" s="1"/>
  <c r="F18" i="1"/>
  <c r="G18" i="1" s="1"/>
  <c r="F17" i="1"/>
  <c r="G17" i="1" s="1"/>
  <c r="F8" i="1"/>
  <c r="F7" i="1"/>
  <c r="B8" i="1"/>
  <c r="C8" i="1"/>
  <c r="E7" i="1"/>
  <c r="C7" i="1"/>
  <c r="F22" i="1" l="1"/>
  <c r="G22" i="1" s="1"/>
  <c r="D8" i="1"/>
  <c r="L12" i="1"/>
  <c r="M12" i="1" s="1"/>
  <c r="J12" i="1"/>
  <c r="J11" i="1"/>
  <c r="L11" i="1"/>
  <c r="J10" i="1"/>
  <c r="L10" i="1"/>
  <c r="J9" i="1"/>
  <c r="L9" i="1"/>
  <c r="L8" i="1"/>
  <c r="J8" i="1"/>
  <c r="L7" i="1"/>
  <c r="M7" i="1" s="1"/>
  <c r="N5" i="1"/>
  <c r="N6" i="1"/>
  <c r="O6" i="1" s="1"/>
  <c r="N7" i="1"/>
  <c r="O7" i="1" s="1"/>
  <c r="N11" i="1"/>
  <c r="O11" i="1" s="1"/>
  <c r="N12" i="1"/>
  <c r="O12" i="1" s="1"/>
  <c r="O5" i="1"/>
  <c r="M5" i="1"/>
  <c r="M6" i="1"/>
  <c r="M8" i="1"/>
  <c r="M10" i="1"/>
  <c r="M11" i="1"/>
  <c r="K5" i="1"/>
  <c r="K6" i="1"/>
  <c r="K7" i="1"/>
  <c r="K8" i="1"/>
  <c r="K9" i="1"/>
  <c r="K10" i="1"/>
  <c r="K11" i="1"/>
  <c r="K12" i="1"/>
  <c r="K3" i="1"/>
  <c r="M3" i="1"/>
  <c r="N3" i="1"/>
  <c r="O3" i="1" s="1"/>
  <c r="K4" i="1"/>
  <c r="M4" i="1"/>
  <c r="N4" i="1"/>
  <c r="O4" i="1" s="1"/>
  <c r="N2" i="1"/>
  <c r="M2" i="1"/>
  <c r="K2" i="1"/>
  <c r="D23" i="1" l="1"/>
  <c r="E23" i="1" s="1"/>
  <c r="D9" i="1"/>
  <c r="B9" i="1"/>
  <c r="E8" i="1"/>
  <c r="N10" i="1"/>
  <c r="O10" i="1" s="1"/>
  <c r="N9" i="1"/>
  <c r="O9" i="1" s="1"/>
  <c r="M9" i="1"/>
  <c r="N8" i="1"/>
  <c r="O8" i="1" s="1"/>
  <c r="O2" i="1"/>
  <c r="G3" i="1"/>
  <c r="E3" i="1"/>
  <c r="E4" i="1"/>
  <c r="C3" i="1"/>
  <c r="C4" i="1"/>
  <c r="F3" i="1"/>
  <c r="F4" i="1"/>
  <c r="G4" i="1" s="1"/>
  <c r="F2" i="1"/>
  <c r="E2" i="1"/>
  <c r="C2" i="1"/>
  <c r="B24" i="1" l="1"/>
  <c r="C24" i="1" s="1"/>
  <c r="F23" i="1"/>
  <c r="G23" i="1" s="1"/>
  <c r="D24" i="1"/>
  <c r="E24" i="1" s="1"/>
  <c r="E9" i="1"/>
  <c r="F9" i="1"/>
  <c r="C9" i="1"/>
  <c r="G2" i="1"/>
  <c r="F24" i="1" l="1"/>
  <c r="G24" i="1" s="1"/>
  <c r="C132" i="1" a="1"/>
  <c r="C132" i="1" l="1"/>
  <c r="L131" i="1" s="1"/>
  <c r="O131" i="1" s="1"/>
  <c r="D132" i="1" a="1"/>
  <c r="D132" i="1" l="1"/>
  <c r="P131" i="1"/>
  <c r="R131" i="1" l="1"/>
  <c r="E132" i="1" a="1"/>
  <c r="E132" i="1" l="1"/>
  <c r="A133" i="1"/>
  <c r="F132" i="1" a="1"/>
  <c r="F132" i="1" l="1"/>
  <c r="G132" i="1" a="1"/>
  <c r="G132" i="1" l="1"/>
  <c r="H132" i="1" a="1"/>
  <c r="H132" i="1" l="1"/>
  <c r="I132" i="1" a="1"/>
  <c r="I132" i="1" l="1"/>
  <c r="J132" i="1" s="1"/>
  <c r="K132" i="1" l="1"/>
  <c r="B133" i="1" s="1"/>
  <c r="C133" i="1" a="1"/>
  <c r="C133" i="1" l="1"/>
  <c r="O132" i="1" l="1"/>
  <c r="P132" i="1" s="1"/>
  <c r="R132" i="1" s="1"/>
  <c r="E133" i="1" a="1"/>
  <c r="E133" i="1" l="1"/>
  <c r="A134" i="1"/>
  <c r="F133" i="1" a="1"/>
  <c r="F133" i="1" l="1"/>
  <c r="G133" i="1" a="1"/>
  <c r="G133" i="1" l="1"/>
  <c r="H133" i="1" a="1"/>
  <c r="H133" i="1" l="1"/>
  <c r="I133" i="1" a="1"/>
  <c r="I133" i="1" l="1"/>
  <c r="J133" i="1" s="1"/>
  <c r="M133" i="1" s="1"/>
  <c r="K133" i="1"/>
  <c r="B134" i="1" s="1"/>
  <c r="C134" i="1" a="1"/>
  <c r="D134" i="1" a="1"/>
  <c r="L133" i="1" l="1"/>
  <c r="D134" i="1"/>
  <c r="C134" i="1"/>
  <c r="O133" i="1" l="1"/>
  <c r="P133" i="1"/>
  <c r="R133" i="1" s="1"/>
  <c r="E134" i="1" a="1"/>
  <c r="E134" i="1" l="1"/>
  <c r="A135" i="1"/>
  <c r="F134" i="1" a="1"/>
  <c r="F134" i="1" l="1"/>
  <c r="G134" i="1" a="1"/>
  <c r="G134" i="1" l="1"/>
  <c r="H134" i="1" a="1"/>
  <c r="H134" i="1" l="1"/>
  <c r="I134" i="1" a="1"/>
  <c r="I134" i="1" l="1"/>
  <c r="J134" i="1"/>
  <c r="K134" i="1"/>
  <c r="B135" i="1" s="1"/>
  <c r="C135" i="1" a="1"/>
  <c r="D135" i="1" a="1"/>
  <c r="M134" i="1" l="1"/>
  <c r="D135" i="1"/>
  <c r="C135" i="1"/>
  <c r="L134" i="1" s="1"/>
  <c r="O134" i="1" s="1"/>
  <c r="P134" i="1" l="1"/>
  <c r="R134" i="1" s="1"/>
  <c r="E135" i="1" a="1"/>
  <c r="E135" i="1" l="1"/>
  <c r="A136" i="1"/>
  <c r="F135" i="1" a="1"/>
  <c r="F135" i="1" l="1"/>
  <c r="G135" i="1" a="1"/>
  <c r="G135" i="1" l="1"/>
  <c r="H135" i="1" a="1"/>
  <c r="H135" i="1" l="1"/>
  <c r="I135" i="1" a="1"/>
  <c r="I135" i="1" l="1"/>
  <c r="J135" i="1" s="1"/>
  <c r="K135" i="1"/>
  <c r="B136" i="1" s="1"/>
  <c r="C136" i="1" a="1"/>
  <c r="D136" i="1" a="1"/>
  <c r="M135" i="1" l="1"/>
  <c r="D136" i="1"/>
  <c r="C136" i="1"/>
  <c r="L135" i="1" l="1"/>
  <c r="O135" i="1" s="1"/>
  <c r="P135" i="1" s="1"/>
  <c r="R135" i="1" s="1"/>
  <c r="E136" i="1" a="1"/>
  <c r="E136" i="1" l="1"/>
  <c r="A137" i="1"/>
  <c r="F136" i="1" a="1"/>
  <c r="F136" i="1" l="1"/>
  <c r="G136" i="1" a="1"/>
  <c r="G136" i="1" l="1"/>
  <c r="H136" i="1" a="1"/>
  <c r="H136" i="1" l="1"/>
  <c r="I136" i="1" a="1"/>
  <c r="I136" i="1" l="1"/>
  <c r="J136" i="1" s="1"/>
  <c r="K136" i="1"/>
  <c r="B137" i="1" s="1"/>
  <c r="C137" i="1" a="1"/>
  <c r="D137" i="1" a="1"/>
  <c r="M136" i="1" l="1"/>
  <c r="D137" i="1"/>
  <c r="C137" i="1"/>
  <c r="L136" i="1" l="1"/>
  <c r="O136" i="1" s="1"/>
  <c r="P136" i="1" s="1"/>
  <c r="R136" i="1" s="1"/>
  <c r="E137" i="1" a="1"/>
  <c r="E137" i="1" l="1"/>
  <c r="A138" i="1"/>
  <c r="F137" i="1" a="1"/>
  <c r="F137" i="1" l="1"/>
  <c r="G137" i="1" a="1"/>
  <c r="G137" i="1" l="1"/>
  <c r="H137" i="1" a="1"/>
  <c r="H137" i="1" l="1"/>
  <c r="I137" i="1" a="1"/>
  <c r="I137" i="1" l="1"/>
  <c r="J137" i="1" s="1"/>
  <c r="K137" i="1" l="1"/>
  <c r="B138" i="1" s="1"/>
  <c r="D138" i="1" a="1"/>
  <c r="C138" i="1" a="1"/>
  <c r="C138" i="1" l="1"/>
  <c r="D138" i="1"/>
  <c r="M137" i="1"/>
  <c r="L137" i="1"/>
  <c r="O137" i="1" s="1"/>
  <c r="P137" i="1" l="1"/>
  <c r="R137" i="1" s="1"/>
  <c r="E138" i="1" a="1"/>
  <c r="E138" i="1" l="1"/>
  <c r="A139" i="1"/>
  <c r="F138" i="1" a="1"/>
  <c r="F138" i="1" l="1"/>
  <c r="G138" i="1" a="1"/>
  <c r="G138" i="1" l="1"/>
  <c r="H138" i="1" a="1"/>
  <c r="H138" i="1" l="1"/>
  <c r="I138" i="1" a="1"/>
  <c r="I138" i="1" l="1"/>
  <c r="K138" i="1"/>
  <c r="B139" i="1" s="1"/>
  <c r="J138" i="1"/>
  <c r="M138" i="1" s="1"/>
  <c r="C139" i="1" a="1"/>
  <c r="D139" i="1" a="1"/>
  <c r="D139" i="1" l="1"/>
  <c r="C139" i="1"/>
  <c r="L138" i="1" l="1"/>
  <c r="O138" i="1" s="1"/>
  <c r="P138" i="1" s="1"/>
  <c r="R138" i="1" s="1"/>
  <c r="E139" i="1" a="1"/>
  <c r="E139" i="1" l="1"/>
  <c r="A140" i="1"/>
  <c r="F139" i="1" a="1"/>
  <c r="F139" i="1" l="1"/>
  <c r="G139" i="1" a="1"/>
  <c r="G139" i="1" l="1"/>
  <c r="H139" i="1" a="1"/>
  <c r="H139" i="1" l="1"/>
  <c r="I139" i="1" a="1"/>
  <c r="I139" i="1" l="1"/>
  <c r="J139" i="1" l="1"/>
  <c r="K139" i="1"/>
  <c r="B140" i="1" s="1"/>
  <c r="C140" i="1" a="1"/>
  <c r="D140" i="1" a="1"/>
  <c r="D140" i="1" l="1"/>
  <c r="C140" i="1"/>
  <c r="L139" i="1"/>
  <c r="M139" i="1"/>
  <c r="O139" i="1" l="1"/>
  <c r="P139" i="1" s="1"/>
  <c r="R139" i="1" s="1"/>
  <c r="E140" i="1" a="1"/>
  <c r="E140" i="1" l="1"/>
  <c r="A141" i="1"/>
  <c r="F140" i="1" a="1"/>
  <c r="F140" i="1" l="1"/>
  <c r="G140" i="1" a="1"/>
  <c r="G140" i="1" l="1"/>
  <c r="H140" i="1" a="1"/>
  <c r="H140" i="1" l="1"/>
  <c r="I140" i="1" a="1"/>
  <c r="I140" i="1" l="1"/>
  <c r="K140" i="1" l="1"/>
  <c r="B141" i="1" s="1"/>
  <c r="J140" i="1"/>
  <c r="D141" i="1" a="1"/>
  <c r="C141" i="1" a="1"/>
  <c r="M140" i="1" l="1"/>
  <c r="C141" i="1"/>
  <c r="D141" i="1"/>
  <c r="L140" i="1"/>
  <c r="O140" i="1" l="1"/>
  <c r="P140" i="1" s="1"/>
  <c r="R140" i="1" s="1"/>
  <c r="E141" i="1" a="1"/>
  <c r="E141" i="1" l="1"/>
  <c r="A142" i="1"/>
  <c r="F141" i="1" a="1"/>
  <c r="F141" i="1" l="1"/>
  <c r="G141" i="1" a="1"/>
  <c r="G141" i="1" l="1"/>
  <c r="H141" i="1" a="1"/>
  <c r="H141" i="1" l="1"/>
  <c r="I141" i="1" a="1"/>
  <c r="I141" i="1" l="1"/>
  <c r="K141" i="1" l="1"/>
  <c r="B142" i="1" s="1"/>
  <c r="J141" i="1"/>
  <c r="M141" i="1" s="1"/>
  <c r="C142" i="1" a="1"/>
  <c r="D142" i="1" a="1"/>
  <c r="D142" i="1" l="1"/>
  <c r="C142" i="1"/>
  <c r="L141" i="1"/>
  <c r="O141" i="1" l="1"/>
  <c r="P141" i="1" s="1"/>
  <c r="R141" i="1" s="1"/>
  <c r="E142" i="1" a="1"/>
  <c r="E142" i="1" l="1"/>
  <c r="A143" i="1"/>
  <c r="F142" i="1" a="1"/>
  <c r="F142" i="1" l="1"/>
  <c r="G142" i="1" a="1"/>
  <c r="G142" i="1" l="1"/>
  <c r="H142" i="1" a="1"/>
  <c r="H142" i="1" l="1"/>
  <c r="I142" i="1" a="1"/>
  <c r="I142" i="1" l="1"/>
  <c r="J142" i="1" l="1"/>
  <c r="K142" i="1"/>
  <c r="B143" i="1" s="1"/>
  <c r="C143" i="1" a="1"/>
  <c r="D143" i="1" a="1"/>
  <c r="M142" i="1" l="1"/>
  <c r="D143" i="1"/>
  <c r="C143" i="1"/>
  <c r="L142" i="1"/>
  <c r="O142" i="1" l="1"/>
  <c r="P142" i="1" s="1"/>
  <c r="R142" i="1" s="1"/>
  <c r="E143" i="1" a="1"/>
  <c r="E143" i="1" l="1"/>
  <c r="A144" i="1"/>
  <c r="F143" i="1" a="1"/>
  <c r="F143" i="1" l="1"/>
  <c r="G143" i="1" a="1"/>
  <c r="G143" i="1" l="1"/>
  <c r="H143" i="1" a="1"/>
  <c r="H143" i="1" l="1"/>
  <c r="I143" i="1" a="1"/>
  <c r="I143" i="1" l="1"/>
  <c r="J143" i="1" s="1"/>
  <c r="K143" i="1"/>
  <c r="B144" i="1" s="1"/>
  <c r="C144" i="1" a="1"/>
  <c r="D144" i="1" a="1"/>
  <c r="M143" i="1" l="1"/>
  <c r="D144" i="1"/>
  <c r="C144" i="1"/>
  <c r="L143" i="1"/>
  <c r="O143" i="1" s="1"/>
  <c r="P143" i="1" s="1"/>
  <c r="R143" i="1" s="1"/>
  <c r="E144" i="1" a="1"/>
  <c r="E144" i="1" l="1"/>
  <c r="A145" i="1"/>
  <c r="F144" i="1" a="1"/>
  <c r="F144" i="1" l="1"/>
  <c r="G144" i="1" a="1"/>
  <c r="G144" i="1" l="1"/>
  <c r="H144" i="1" a="1"/>
  <c r="H144" i="1" l="1"/>
  <c r="I144" i="1" a="1"/>
  <c r="I144" i="1" l="1"/>
  <c r="K144" i="1"/>
  <c r="B145" i="1" s="1"/>
  <c r="J144" i="1"/>
  <c r="M144" i="1" s="1"/>
  <c r="D145" i="1" a="1"/>
  <c r="C145" i="1" a="1"/>
  <c r="C145" i="1" l="1"/>
  <c r="L144" i="1" s="1"/>
  <c r="O144" i="1" s="1"/>
  <c r="P144" i="1" s="1"/>
  <c r="D145" i="1"/>
  <c r="R144" i="1" l="1"/>
  <c r="A146" i="1" s="1"/>
  <c r="E145" i="1" a="1"/>
  <c r="E145" i="1" l="1"/>
  <c r="F145" i="1" a="1"/>
  <c r="F145" i="1" l="1"/>
  <c r="G145" i="1" a="1"/>
  <c r="G145" i="1" l="1"/>
  <c r="H145" i="1" a="1"/>
  <c r="H145" i="1" l="1"/>
  <c r="I145" i="1" a="1"/>
  <c r="I145" i="1" l="1"/>
  <c r="J145" i="1" s="1"/>
  <c r="K145" i="1" l="1"/>
  <c r="B146" i="1" s="1"/>
  <c r="C146" i="1" a="1"/>
  <c r="D146" i="1" a="1"/>
  <c r="M145" i="1" l="1"/>
  <c r="D146" i="1"/>
  <c r="C146" i="1"/>
  <c r="L145" i="1" s="1"/>
  <c r="O145" i="1" s="1"/>
  <c r="P145" i="1" s="1"/>
  <c r="R145" i="1" s="1"/>
  <c r="A147" i="1" s="1"/>
  <c r="E146" i="1" a="1"/>
  <c r="E146" i="1" l="1"/>
  <c r="F146" i="1" a="1"/>
  <c r="F146" i="1" l="1"/>
  <c r="G146" i="1" a="1"/>
  <c r="G146" i="1" l="1"/>
  <c r="H146" i="1" a="1"/>
  <c r="H146" i="1" l="1"/>
  <c r="I146" i="1" a="1"/>
  <c r="I146" i="1" l="1"/>
  <c r="J146" i="1" l="1"/>
  <c r="K146" i="1"/>
  <c r="B147" i="1" s="1"/>
  <c r="D147" i="1" a="1"/>
  <c r="C147" i="1" a="1"/>
  <c r="M146" i="1" l="1"/>
  <c r="C147" i="1"/>
  <c r="L146" i="1" s="1"/>
  <c r="O146" i="1" s="1"/>
  <c r="D147" i="1"/>
  <c r="P146" i="1" l="1"/>
  <c r="R146" i="1" s="1"/>
  <c r="A148" i="1" l="1"/>
  <c r="E147" i="1" a="1"/>
  <c r="E147" i="1" l="1"/>
  <c r="F147" i="1" a="1"/>
  <c r="F147" i="1" l="1"/>
  <c r="G147" i="1" a="1"/>
  <c r="G147" i="1" l="1"/>
  <c r="H147" i="1" a="1"/>
  <c r="H147" i="1" l="1"/>
  <c r="I147" i="1" a="1"/>
  <c r="I147" i="1" l="1"/>
  <c r="J147" i="1" l="1"/>
  <c r="K147" i="1"/>
  <c r="B148" i="1" s="1"/>
  <c r="D148" i="1" a="1"/>
  <c r="C148" i="1" a="1"/>
  <c r="M147" i="1" l="1"/>
  <c r="C148" i="1"/>
  <c r="L147" i="1" s="1"/>
  <c r="O147" i="1" s="1"/>
  <c r="P147" i="1" s="1"/>
  <c r="D148" i="1"/>
  <c r="R147" i="1" l="1"/>
  <c r="A149" i="1" l="1"/>
  <c r="E148" i="1" a="1"/>
  <c r="E148" i="1" l="1"/>
  <c r="F148" i="1" a="1"/>
  <c r="F148" i="1" l="1"/>
  <c r="G148" i="1" a="1"/>
  <c r="G148" i="1" l="1"/>
  <c r="H148" i="1" a="1"/>
  <c r="H148" i="1" l="1"/>
  <c r="I148" i="1" a="1"/>
  <c r="I148" i="1" l="1"/>
  <c r="J148" i="1" l="1"/>
  <c r="K148" i="1"/>
  <c r="B149" i="1" s="1"/>
  <c r="C149" i="1" a="1"/>
  <c r="D149" i="1" a="1"/>
  <c r="M148" i="1" l="1"/>
  <c r="D149" i="1"/>
  <c r="C149" i="1"/>
  <c r="L148" i="1" s="1"/>
  <c r="O148" i="1" s="1"/>
  <c r="P148" i="1" l="1"/>
  <c r="R148" i="1" s="1"/>
  <c r="A150" i="1" s="1"/>
  <c r="E149" i="1" a="1"/>
  <c r="E149" i="1" l="1"/>
  <c r="F149" i="1" a="1"/>
  <c r="F149" i="1" l="1"/>
  <c r="G149" i="1" a="1"/>
  <c r="G149" i="1" l="1"/>
  <c r="H149" i="1" a="1"/>
  <c r="H149" i="1" l="1"/>
  <c r="I149" i="1" a="1"/>
  <c r="I149" i="1" l="1"/>
  <c r="J149" i="1" l="1"/>
  <c r="K149" i="1"/>
  <c r="B150" i="1" s="1"/>
  <c r="C150" i="1" a="1"/>
  <c r="D150" i="1" a="1"/>
  <c r="M149" i="1" l="1"/>
  <c r="D150" i="1"/>
  <c r="C150" i="1"/>
  <c r="L149" i="1" l="1"/>
  <c r="O149" i="1" s="1"/>
  <c r="P149" i="1" s="1"/>
  <c r="R149" i="1" s="1"/>
  <c r="A151" i="1" s="1"/>
  <c r="E150" i="1" a="1"/>
  <c r="E150" i="1" l="1"/>
  <c r="F150" i="1" a="1"/>
  <c r="F150" i="1" l="1"/>
  <c r="G150" i="1" a="1"/>
  <c r="G150" i="1" l="1"/>
  <c r="H150" i="1" a="1"/>
  <c r="H150" i="1" l="1"/>
  <c r="I150" i="1" a="1"/>
  <c r="I150" i="1" l="1"/>
  <c r="J150" i="1" l="1"/>
  <c r="K150" i="1"/>
  <c r="B151" i="1" s="1"/>
  <c r="D151" i="1" a="1"/>
  <c r="C151" i="1" a="1"/>
  <c r="C151" i="1" l="1"/>
  <c r="L150" i="1" s="1"/>
  <c r="O150" i="1" s="1"/>
  <c r="D151" i="1"/>
  <c r="M150" i="1"/>
  <c r="P150" i="1" l="1"/>
  <c r="R150" i="1" s="1"/>
  <c r="A152" i="1" l="1"/>
  <c r="E151" i="1" a="1"/>
  <c r="E151" i="1" l="1"/>
  <c r="F151" i="1" a="1"/>
  <c r="F151" i="1" l="1"/>
  <c r="G151" i="1" a="1"/>
  <c r="G151" i="1" l="1"/>
  <c r="H151" i="1" a="1"/>
  <c r="H151" i="1" l="1"/>
  <c r="I151" i="1" a="1"/>
  <c r="I151" i="1" l="1"/>
  <c r="J151" i="1" l="1"/>
  <c r="K151" i="1"/>
  <c r="B152" i="1" s="1"/>
  <c r="D152" i="1" a="1"/>
  <c r="C152" i="1" a="1"/>
  <c r="C152" i="1" l="1"/>
  <c r="L151" i="1" s="1"/>
  <c r="O151" i="1" s="1"/>
  <c r="D152" i="1"/>
  <c r="M151" i="1"/>
  <c r="P151" i="1" l="1"/>
  <c r="R151" i="1" s="1"/>
  <c r="A153" i="1" l="1"/>
  <c r="E152" i="1" a="1"/>
  <c r="E152" i="1" l="1"/>
  <c r="F152" i="1" a="1"/>
  <c r="F152" i="1" l="1"/>
  <c r="G152" i="1" a="1"/>
  <c r="G152" i="1" l="1"/>
  <c r="H152" i="1" a="1"/>
  <c r="H152" i="1" l="1"/>
  <c r="I152" i="1" a="1"/>
  <c r="I152" i="1" l="1"/>
  <c r="J152" i="1" l="1"/>
  <c r="K152" i="1"/>
  <c r="B153" i="1" s="1"/>
  <c r="C153" i="1" a="1"/>
  <c r="D153" i="1" a="1"/>
  <c r="D153" i="1" l="1"/>
  <c r="C153" i="1"/>
  <c r="L152" i="1" s="1"/>
  <c r="O152" i="1" s="1"/>
  <c r="M152" i="1"/>
  <c r="P152" i="1" l="1"/>
  <c r="R152" i="1"/>
  <c r="A154" i="1" l="1"/>
  <c r="E153" i="1" a="1"/>
  <c r="E153" i="1" l="1"/>
  <c r="F153" i="1" a="1"/>
  <c r="F153" i="1" l="1"/>
  <c r="G153" i="1" a="1"/>
  <c r="G153" i="1" l="1"/>
  <c r="H153" i="1" a="1"/>
  <c r="H153" i="1" l="1"/>
  <c r="I153" i="1" a="1"/>
  <c r="I153" i="1" l="1"/>
  <c r="J153" i="1" l="1"/>
  <c r="K153" i="1"/>
  <c r="B154" i="1" s="1"/>
  <c r="C154" i="1" a="1"/>
  <c r="D154" i="1" a="1"/>
  <c r="D154" i="1" l="1"/>
  <c r="C154" i="1"/>
  <c r="L153" i="1" s="1"/>
  <c r="O153" i="1" s="1"/>
  <c r="M153" i="1"/>
  <c r="P153" i="1" l="1"/>
  <c r="R153" i="1" s="1"/>
  <c r="A155" i="1" l="1"/>
  <c r="E154" i="1" a="1"/>
  <c r="E154" i="1" l="1"/>
  <c r="F154" i="1" a="1"/>
  <c r="F154" i="1" l="1"/>
  <c r="G154" i="1" a="1"/>
  <c r="G154" i="1" l="1"/>
  <c r="H154" i="1" a="1"/>
  <c r="H154" i="1" l="1"/>
  <c r="I154" i="1" a="1"/>
  <c r="I154" i="1" l="1"/>
  <c r="J154" i="1" l="1"/>
  <c r="K154" i="1"/>
  <c r="B155" i="1" s="1"/>
  <c r="D155" i="1" a="1"/>
  <c r="C155" i="1" a="1"/>
  <c r="C155" i="1" l="1"/>
  <c r="L154" i="1" s="1"/>
  <c r="O154" i="1" s="1"/>
  <c r="D155" i="1"/>
  <c r="M154" i="1"/>
  <c r="P154" i="1" l="1"/>
  <c r="R154" i="1" s="1"/>
  <c r="A156" i="1" l="1"/>
  <c r="E155" i="1" a="1"/>
  <c r="E155" i="1" l="1"/>
  <c r="F155" i="1" a="1"/>
  <c r="F155" i="1" l="1"/>
  <c r="G155" i="1" a="1"/>
  <c r="G155" i="1" l="1"/>
  <c r="H155" i="1" a="1"/>
  <c r="H155" i="1" l="1"/>
  <c r="I155" i="1" a="1"/>
  <c r="I155" i="1" l="1"/>
  <c r="J155" i="1" l="1"/>
  <c r="K155" i="1"/>
  <c r="B156" i="1" s="1"/>
  <c r="D156" i="1" a="1"/>
  <c r="C156" i="1" a="1"/>
  <c r="C156" i="1" l="1"/>
  <c r="L155" i="1" s="1"/>
  <c r="O155" i="1" s="1"/>
  <c r="D156" i="1"/>
  <c r="M155" i="1"/>
  <c r="P155" i="1" l="1"/>
  <c r="R155" i="1" s="1"/>
  <c r="A157" i="1" s="1"/>
  <c r="E156" i="1" a="1"/>
  <c r="E156" i="1" l="1"/>
  <c r="F156" i="1" a="1"/>
  <c r="F156" i="1" l="1"/>
  <c r="G156" i="1" a="1"/>
  <c r="G156" i="1" l="1"/>
  <c r="H156" i="1" a="1"/>
  <c r="H156" i="1" l="1"/>
  <c r="I156" i="1" a="1"/>
  <c r="I156" i="1" l="1"/>
  <c r="J156" i="1" l="1"/>
  <c r="K156" i="1"/>
  <c r="B157" i="1" s="1"/>
  <c r="C157" i="1" a="1"/>
  <c r="D157" i="1" a="1"/>
  <c r="D157" i="1" l="1"/>
  <c r="C157" i="1"/>
  <c r="M156" i="1"/>
  <c r="L156" i="1" l="1"/>
  <c r="O156" i="1" s="1"/>
  <c r="P156" i="1" l="1"/>
  <c r="R156" i="1"/>
  <c r="A158" i="1"/>
  <c r="E157" i="1" a="1"/>
  <c r="E157" i="1" l="1"/>
  <c r="F157" i="1" a="1"/>
  <c r="F157" i="1" l="1"/>
  <c r="G157" i="1" a="1"/>
  <c r="G157" i="1" l="1"/>
  <c r="H157" i="1" a="1"/>
  <c r="H157" i="1" l="1"/>
  <c r="I157" i="1" a="1"/>
  <c r="I157" i="1" l="1"/>
  <c r="J157" i="1" l="1"/>
  <c r="K157" i="1"/>
  <c r="B158" i="1" s="1"/>
  <c r="D158" i="1" a="1"/>
  <c r="C158" i="1" a="1"/>
  <c r="C158" i="1" l="1"/>
  <c r="L157" i="1" s="1"/>
  <c r="O157" i="1" s="1"/>
  <c r="D158" i="1"/>
  <c r="M157" i="1"/>
  <c r="P157" i="1" l="1"/>
  <c r="R157" i="1"/>
  <c r="A159" i="1" l="1"/>
  <c r="E158" i="1" a="1"/>
  <c r="E158" i="1" l="1"/>
  <c r="F158" i="1" a="1"/>
  <c r="F158" i="1" l="1"/>
  <c r="G158" i="1" a="1"/>
  <c r="G158" i="1" l="1"/>
  <c r="H158" i="1" a="1"/>
  <c r="H158" i="1" l="1"/>
  <c r="I158" i="1" a="1"/>
  <c r="I158" i="1" l="1"/>
  <c r="J158" i="1" l="1"/>
  <c r="K158" i="1"/>
  <c r="B159" i="1" s="1"/>
  <c r="D159" i="1" a="1"/>
  <c r="C159" i="1" a="1"/>
  <c r="M158" i="1" l="1"/>
  <c r="C159" i="1"/>
  <c r="L158" i="1" s="1"/>
  <c r="O158" i="1" s="1"/>
  <c r="D159" i="1"/>
  <c r="P158" i="1" l="1"/>
  <c r="R158" i="1" s="1"/>
  <c r="A160" i="1" l="1"/>
  <c r="E159" i="1" a="1"/>
  <c r="E159" i="1" l="1"/>
  <c r="F159" i="1" a="1"/>
  <c r="F159" i="1" l="1"/>
  <c r="G159" i="1" a="1"/>
  <c r="G159" i="1" l="1"/>
  <c r="H159" i="1" a="1"/>
  <c r="H159" i="1" l="1"/>
  <c r="I159" i="1" a="1"/>
  <c r="I159" i="1" l="1"/>
  <c r="J159" i="1" l="1"/>
  <c r="K159" i="1"/>
  <c r="B160" i="1" s="1"/>
  <c r="D160" i="1" a="1"/>
  <c r="C160" i="1" a="1"/>
  <c r="M159" i="1" l="1"/>
  <c r="C160" i="1"/>
  <c r="L159" i="1" s="1"/>
  <c r="O159" i="1" s="1"/>
  <c r="D160" i="1"/>
  <c r="P159" i="1" l="1"/>
  <c r="R159" i="1" s="1"/>
  <c r="A161" i="1" l="1"/>
  <c r="E160" i="1" a="1"/>
  <c r="E160" i="1" l="1"/>
  <c r="F160" i="1" a="1"/>
  <c r="F160" i="1" l="1"/>
  <c r="G160" i="1" a="1"/>
  <c r="G160" i="1" l="1"/>
  <c r="H160" i="1" a="1"/>
  <c r="H160" i="1" l="1"/>
  <c r="I160" i="1" a="1"/>
  <c r="I160" i="1" l="1"/>
  <c r="J160" i="1" l="1"/>
  <c r="K160" i="1"/>
  <c r="B161" i="1" s="1"/>
  <c r="C161" i="1" a="1"/>
  <c r="D161" i="1" a="1"/>
  <c r="D161" i="1" l="1"/>
  <c r="C161" i="1"/>
  <c r="L160" i="1" s="1"/>
  <c r="O160" i="1" s="1"/>
  <c r="M160" i="1"/>
  <c r="P160" i="1" l="1"/>
  <c r="R160" i="1" s="1"/>
  <c r="A162" i="1" l="1"/>
  <c r="E161" i="1" a="1"/>
  <c r="E161" i="1" l="1"/>
  <c r="F161" i="1" a="1"/>
  <c r="F161" i="1" l="1"/>
  <c r="G161" i="1" a="1"/>
  <c r="G161" i="1" l="1"/>
  <c r="H161" i="1" a="1"/>
  <c r="H161" i="1" l="1"/>
  <c r="I161" i="1" a="1"/>
  <c r="I161" i="1" l="1"/>
  <c r="J161" i="1" l="1"/>
  <c r="K161" i="1"/>
  <c r="B162" i="1" s="1"/>
  <c r="D162" i="1" a="1"/>
  <c r="C162" i="1" a="1"/>
  <c r="M161" i="1" l="1"/>
  <c r="C162" i="1"/>
  <c r="L161" i="1" s="1"/>
  <c r="O161" i="1" s="1"/>
  <c r="P161" i="1" s="1"/>
  <c r="D162" i="1"/>
  <c r="R161" i="1" l="1"/>
  <c r="A163" i="1" l="1"/>
  <c r="E162" i="1" a="1"/>
  <c r="E162" i="1" l="1"/>
  <c r="F162" i="1" a="1"/>
  <c r="F162" i="1" l="1"/>
  <c r="G162" i="1" a="1"/>
  <c r="G162" i="1" l="1"/>
  <c r="H162" i="1" a="1"/>
  <c r="H162" i="1" l="1"/>
  <c r="I162" i="1" a="1"/>
  <c r="I162" i="1" l="1"/>
  <c r="J162" i="1" l="1"/>
  <c r="K162" i="1"/>
  <c r="B163" i="1" s="1"/>
  <c r="D163" i="1" a="1"/>
  <c r="C163" i="1" a="1"/>
  <c r="C163" i="1" l="1"/>
  <c r="L162" i="1" s="1"/>
  <c r="O162" i="1" s="1"/>
  <c r="D163" i="1"/>
  <c r="M162" i="1"/>
  <c r="P162" i="1" l="1"/>
  <c r="R162" i="1" s="1"/>
  <c r="L163" i="1" s="1"/>
  <c r="O163" i="1" s="1"/>
  <c r="E163" i="1" a="1"/>
  <c r="E163" i="1" l="1"/>
  <c r="F163" i="1" a="1"/>
  <c r="F163" i="1" l="1"/>
  <c r="G163" i="1" a="1"/>
  <c r="G163" i="1" l="1"/>
  <c r="H163" i="1" a="1"/>
  <c r="H163" i="1" l="1"/>
  <c r="I163" i="1" a="1"/>
  <c r="I163" i="1" l="1"/>
  <c r="J163" i="1" l="1"/>
  <c r="M163" i="1" s="1"/>
  <c r="K163" i="1"/>
  <c r="P163" i="1" l="1"/>
  <c r="R16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<sst xmlns="http://schemas.openxmlformats.org/spreadsheetml/2006/main" count="195" uniqueCount="101">
  <si>
    <t xml:space="preserve">Iteration </t>
  </si>
  <si>
    <t>x1</t>
  </si>
  <si>
    <t>f1</t>
  </si>
  <si>
    <t>xu</t>
  </si>
  <si>
    <t>fu</t>
  </si>
  <si>
    <t>xr</t>
  </si>
  <si>
    <t>fr</t>
  </si>
  <si>
    <t>Bisection</t>
  </si>
  <si>
    <t xml:space="preserve">Secant </t>
  </si>
  <si>
    <t>x0</t>
  </si>
  <si>
    <t>f0</t>
  </si>
  <si>
    <t>xnew</t>
  </si>
  <si>
    <t>fnew</t>
  </si>
  <si>
    <t>Error:</t>
  </si>
  <si>
    <t>Ridders'</t>
  </si>
  <si>
    <t>x2</t>
  </si>
  <si>
    <t>f2</t>
  </si>
  <si>
    <t>x3</t>
  </si>
  <si>
    <t>f3</t>
  </si>
  <si>
    <t>x4</t>
  </si>
  <si>
    <t>f4</t>
  </si>
  <si>
    <t>guassS.</t>
  </si>
  <si>
    <t>y</t>
  </si>
  <si>
    <t>x</t>
  </si>
  <si>
    <t>init guess</t>
  </si>
  <si>
    <t>-</t>
  </si>
  <si>
    <t>Errors:</t>
  </si>
  <si>
    <t>Iteration</t>
  </si>
  <si>
    <t>f</t>
  </si>
  <si>
    <t>V</t>
  </si>
  <si>
    <t>Re</t>
  </si>
  <si>
    <t>L</t>
  </si>
  <si>
    <t>D</t>
  </si>
  <si>
    <t>P1</t>
  </si>
  <si>
    <t>P2</t>
  </si>
  <si>
    <t>eps</t>
  </si>
  <si>
    <t>hp</t>
  </si>
  <si>
    <t>z1</t>
  </si>
  <si>
    <t>z2</t>
  </si>
  <si>
    <t>m</t>
  </si>
  <si>
    <t>pa</t>
  </si>
  <si>
    <t>J/N</t>
  </si>
  <si>
    <t>Km</t>
  </si>
  <si>
    <t>rho</t>
  </si>
  <si>
    <t>kg/m^3</t>
  </si>
  <si>
    <t>nu</t>
  </si>
  <si>
    <t>g</t>
  </si>
  <si>
    <t>m/s^2</t>
  </si>
  <si>
    <t>Pipe Flow Stuff</t>
  </si>
  <si>
    <t>Trendline</t>
  </si>
  <si>
    <t>b:</t>
  </si>
  <si>
    <t>a:</t>
  </si>
  <si>
    <t>x^2</t>
  </si>
  <si>
    <t>x*y</t>
  </si>
  <si>
    <t>f(x)</t>
  </si>
  <si>
    <t>1st Order</t>
  </si>
  <si>
    <t>2nd Order</t>
  </si>
  <si>
    <t>3rd Order</t>
  </si>
  <si>
    <t>4th Order</t>
  </si>
  <si>
    <t>forward</t>
  </si>
  <si>
    <t>backward</t>
  </si>
  <si>
    <t>central</t>
  </si>
  <si>
    <t>Error</t>
  </si>
  <si>
    <t>Actual</t>
  </si>
  <si>
    <t>PreClass 42</t>
  </si>
  <si>
    <t>Trapezoidal</t>
  </si>
  <si>
    <t>Simpsons 1/3</t>
  </si>
  <si>
    <t>Simpsons 3/8</t>
  </si>
  <si>
    <t>sums</t>
  </si>
  <si>
    <t>Errors</t>
  </si>
  <si>
    <t>Euler's Method</t>
  </si>
  <si>
    <t>t</t>
  </si>
  <si>
    <t>dy/dt</t>
  </si>
  <si>
    <t>step size:</t>
  </si>
  <si>
    <t>Runge-Kutta</t>
  </si>
  <si>
    <t>k1</t>
  </si>
  <si>
    <t>k2</t>
  </si>
  <si>
    <t>k3</t>
  </si>
  <si>
    <t>k4</t>
  </si>
  <si>
    <t>phi</t>
  </si>
  <si>
    <t>Error at 3</t>
  </si>
  <si>
    <t>Step Size:</t>
  </si>
  <si>
    <t>Rungekutta</t>
  </si>
  <si>
    <t>Eulers</t>
  </si>
  <si>
    <t>Approx</t>
  </si>
  <si>
    <t>Step Size</t>
  </si>
  <si>
    <t>dx/dt</t>
  </si>
  <si>
    <t>Embedded Runge-Kutta</t>
  </si>
  <si>
    <t>k6</t>
  </si>
  <si>
    <t>k5</t>
  </si>
  <si>
    <t>y4</t>
  </si>
  <si>
    <t>y5</t>
  </si>
  <si>
    <t>stepsize:</t>
  </si>
  <si>
    <t>Error est</t>
  </si>
  <si>
    <t>yscale</t>
  </si>
  <si>
    <t>error tol</t>
  </si>
  <si>
    <t>desired err</t>
  </si>
  <si>
    <t>alpha</t>
  </si>
  <si>
    <t>hNew</t>
  </si>
  <si>
    <t>FS</t>
  </si>
  <si>
    <t>dy/dx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</si>
</sst>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1" xfId="0" applyBorder="1"/>
    <xf numFmtId="0" fontId="0" fillId="0" borderId="2" xfId="0" applyFill="1" applyBorder="1"/>
    <xf numFmtId="0" fontId="0" fillId="0" borderId="3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4" xfId="0" applyFont="1" applyBorder="1"/>
    <xf numFmtId="0" fontId="0" fillId="0" borderId="13" xfId="0" applyBorder="1"/>
    <xf numFmtId="0" fontId="0" fillId="0" borderId="3" xfId="0" applyBorder="1"/>
    <xf numFmtId="0" fontId="0" fillId="0" borderId="4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10" fontId="0" fillId="0" borderId="21" xfId="0" applyNumberFormat="1" applyBorder="1"/>
    <xf numFmtId="10" fontId="0" fillId="0" borderId="0" xfId="0" applyNumberFormat="1" applyBorder="1"/>
    <xf numFmtId="10" fontId="0" fillId="0" borderId="8" xfId="0" applyNumberFormat="1" applyBorder="1"/>
    <xf numFmtId="10" fontId="0" fillId="0" borderId="11" xfId="0" applyNumberFormat="1" applyBorder="1"/>
    <xf numFmtId="10" fontId="0" fillId="0" borderId="12" xfId="0" applyNumberFormat="1" applyBorder="1"/>
    <xf numFmtId="0" fontId="0" fillId="0" borderId="19" xfId="0" applyFill="1" applyBorder="1"/>
    <xf numFmtId="11" fontId="0" fillId="0" borderId="1" xfId="0" applyNumberFormat="1" applyBorder="1"/>
    <xf numFmtId="11" fontId="0" fillId="0" borderId="21" xfId="0" applyNumberFormat="1" applyBorder="1"/>
    <xf numFmtId="11" fontId="0" fillId="0" borderId="9" xfId="0" applyNumberFormat="1" applyBorder="1"/>
    <xf numFmtId="11" fontId="0" fillId="0" borderId="19" xfId="0" applyNumberFormat="1" applyBorder="1"/>
    <xf numFmtId="11" fontId="0" fillId="2" borderId="9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Trendline</a:t>
            </a:r>
            <a:r>
              <a:rPr lang="en-US" baseline="0"/>
              <a:t> fun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102519971888761"/>
          <c:y val="0.25973266499582293"/>
          <c:w val="0.68921159445233282"/>
          <c:h val="0.4305481551648149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Sheet1!$B$43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2908282298046077E-2"/>
                  <c:y val="-0.1222927026116652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Sheet1!$A$44:$A$47</c:f>
              <c:numCache>
                <c:formatCode>General</c:formatCode>
                <c:ptCount val="4"/>
                <c:pt idx="0">
                  <c:v>0.5</c:v>
                </c:pt>
                <c:pt idx="1">
                  <c:v>0.9</c:v>
                </c:pt>
                <c:pt idx="2">
                  <c:v>1.7</c:v>
                </c:pt>
                <c:pt idx="3">
                  <c:v>2.4</c:v>
                </c:pt>
              </c:numCache>
            </c:numRef>
          </c:xVal>
          <c:yVal>
            <c:numRef>
              <c:f>Sheet1!$B$44:$B$47</c:f>
              <c:numCache>
                <c:formatCode>General</c:formatCode>
                <c:ptCount val="4"/>
                <c:pt idx="0">
                  <c:v>8.6999999999999993</c:v>
                </c:pt>
                <c:pt idx="1">
                  <c:v>9.3000000000000007</c:v>
                </c:pt>
                <c:pt idx="2">
                  <c:v>10.6</c:v>
                </c:pt>
                <c:pt idx="3">
                  <c:v>12.1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09-4EA2-A82E-1375FE1D8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494032"/>
        <c:axId val="1154441808"/>
      </c:scatterChart>
      <c:valAx>
        <c:axId val="115449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441808"/>
        <c:crosses val="autoZero"/>
        <c:crossBetween val="midCat"/>
      </c:valAx>
      <c:valAx>
        <c:axId val="115444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49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Sheet1!$H$68:$H$74</c:f>
              <c:numCache>
                <c:formatCode>General</c:formatCode>
                <c:ptCount val="7"/>
                <c:pt idx="0">
                  <c:v>0.3</c:v>
                </c:pt>
                <c:pt idx="1">
                  <c:v>0.5</c:v>
                </c:pt>
                <c:pt idx="2">
                  <c:v>0.7</c:v>
                </c:pt>
                <c:pt idx="3">
                  <c:v>0.9</c:v>
                </c:pt>
                <c:pt idx="4">
                  <c:v>1.1000000000000001</c:v>
                </c:pt>
                <c:pt idx="5">
                  <c:v>1.3</c:v>
                </c:pt>
                <c:pt idx="6">
                  <c:v>1.5</c:v>
                </c:pt>
              </c:numCache>
            </c:numRef>
          </c:xVal>
          <c:yVal>
            <c:numRef>
              <c:f>Sheet1!$I$68:$I$74</c:f>
              <c:numCache>
                <c:formatCode>General</c:formatCode>
                <c:ptCount val="7"/>
                <c:pt idx="0">
                  <c:v>-1.204</c:v>
                </c:pt>
                <c:pt idx="1">
                  <c:v>-0.69310000000000005</c:v>
                </c:pt>
                <c:pt idx="2">
                  <c:v>-0.35670000000000002</c:v>
                </c:pt>
                <c:pt idx="3">
                  <c:v>-0.10539999999999999</c:v>
                </c:pt>
                <c:pt idx="4">
                  <c:v>9.5310000000000006E-2</c:v>
                </c:pt>
                <c:pt idx="5">
                  <c:v>0.26240000000000002</c:v>
                </c:pt>
                <c:pt idx="6">
                  <c:v>0.40550000000000003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2B-4A51-8C13-03A9AAA91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21055"/>
        <c:axId val="813529807"/>
      </c:scatterChart>
      <c:valAx>
        <c:axId val="1009021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529807"/>
        <c:crosses val="autoZero"/>
        <c:crossBetween val="midCat"/>
      </c:valAx>
      <c:valAx>
        <c:axId val="813529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021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Sheet1!$A$131:$A$146</c:f>
              <c:numCache>
                <c:formatCode>0.00E+00</c:formatCode>
                <c:ptCount val="16"/>
                <c:pt idx="0" formatCode="General">
                  <c:v>0</c:v>
                </c:pt>
                <c:pt idx="1">
                  <c:v>0.5</c:v>
                </c:pt>
                <c:pt idx="2">
                  <c:v>0.92997452114194357</c:v>
                </c:pt>
                <c:pt idx="3">
                  <c:v>1.3629887233852833</c:v>
                </c:pt>
                <c:pt idx="4">
                  <c:v>1.7958712632280012</c:v>
                </c:pt>
                <c:pt idx="5">
                  <c:v>1.8546425522884407</c:v>
                </c:pt>
                <c:pt idx="6">
                  <c:v>1.9043253104142885</c:v>
                </c:pt>
                <c:pt idx="7">
                  <c:v>1.9278598412553702</c:v>
                </c:pt>
                <c:pt idx="8">
                  <c:v>1.9543603792881292</c:v>
                </c:pt>
                <c:pt idx="9">
                  <c:v>1.9930067737723722</c:v>
                </c:pt>
                <c:pt idx="10">
                  <c:v>2.0229430352142304</c:v>
                </c:pt>
                <c:pt idx="11">
                  <c:v>2.0516001439789204</c:v>
                </c:pt>
                <c:pt idx="12">
                  <c:v>2.1268401402543304</c:v>
                </c:pt>
                <c:pt idx="13">
                  <c:v>2.2303725821260647</c:v>
                </c:pt>
                <c:pt idx="14">
                  <c:v>2.5963323258366504</c:v>
                </c:pt>
                <c:pt idx="15">
                  <c:v>3.3548280149601473</c:v>
                </c:pt>
              </c:numCache>
            </c:numRef>
          </c:xVal>
          <c:yVal>
            <c:numRef>
              <c:f>Sheet1!$B$131:$B$146</c:f>
              <c:numCache>
                <c:formatCode>General</c:formatCode>
                <c:ptCount val="16"/>
                <c:pt idx="0">
                  <c:v>0.5</c:v>
                </c:pt>
                <c:pt idx="1">
                  <c:v>0.37040874511077881</c:v>
                </c:pt>
                <c:pt idx="2" formatCode="0.00E+00">
                  <c:v>0.2861802816617296</c:v>
                </c:pt>
                <c:pt idx="3" formatCode="0.00E+00">
                  <c:v>0.22070191660227681</c:v>
                </c:pt>
                <c:pt idx="4">
                  <c:v>0.17473726726607253</c:v>
                </c:pt>
                <c:pt idx="5">
                  <c:v>0.21149144838409609</c:v>
                </c:pt>
                <c:pt idx="6">
                  <c:v>0.34405150751602137</c:v>
                </c:pt>
                <c:pt idx="7">
                  <c:v>0.46438958620733239</c:v>
                </c:pt>
                <c:pt idx="8">
                  <c:v>0.64991308911977752</c:v>
                </c:pt>
                <c:pt idx="9">
                  <c:v>0.99089530469006726</c:v>
                </c:pt>
                <c:pt idx="10">
                  <c:v>1.2663307264025216</c:v>
                </c:pt>
                <c:pt idx="11">
                  <c:v>1.4946472229366616</c:v>
                </c:pt>
                <c:pt idx="12">
                  <c:v>1.7953271409766252</c:v>
                </c:pt>
                <c:pt idx="13">
                  <c:v>1.7668295278107611</c:v>
                </c:pt>
                <c:pt idx="14">
                  <c:v>1.4212202548180473</c:v>
                </c:pt>
                <c:pt idx="15">
                  <c:v>0.90159340579892966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75-470A-8003-24BD5F7DE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495"/>
        <c:axId val="1884322495"/>
      </c:scatterChart>
      <c:valAx>
        <c:axId val="1632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322495"/>
        <c:crosses val="autoZero"/>
        <c:crossBetween val="midCat"/>
      </c:valAx>
      <c:valAx>
        <c:axId val="1884322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47</xdr:row>
      <xdr:rowOff>49530</xdr:rowOff>
    </xdr:from>
    <xdr:to>
      <xdr:col>9</xdr:col>
      <xdr:colOff>281940</xdr:colOff>
      <xdr:row>63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C78C37-0FD4-46E5-894E-013D7D520A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78906</xdr:colOff>
      <xdr:row>64</xdr:row>
      <xdr:rowOff>159164</xdr:rowOff>
    </xdr:from>
    <xdr:to>
      <xdr:col>19</xdr:col>
      <xdr:colOff>173592</xdr:colOff>
      <xdr:row>79</xdr:row>
      <xdr:rowOff>111369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AAB820-7BBA-4B1C-8029-F54E80F705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429847</xdr:colOff>
      <xdr:row>129</xdr:row>
      <xdr:rowOff>152400</xdr:rowOff>
    </xdr:from>
    <xdr:to>
      <xdr:col>26</xdr:col>
      <xdr:colOff>156308</xdr:colOff>
      <xdr:row>143</xdr:row>
      <xdr:rowOff>160216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4C7110-159A-414C-A6EC-5147B24D05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CBC2-794F-4C8C-B65A-6B36D65342DB}">
  <sheetPr codeName="Sheet1"/>
  <dimension ref="A1:R163"/>
  <sheetViews>
    <sheetView tabSelected="1" topLeftCell="A110" zoomScale="112" zoomScaleNormal="112" workbookViewId="0">
      <selection activeCell="E135" sqref="E135"/>
    </sheetView>
  </sheetViews>
  <sheetFormatPr defaultRowHeight="14.4" x14ac:dyDescent="0.3"/>
  <cols>
    <col min="1" max="1" width="14.44140625" bestFit="1" customWidth="1"/>
    <col min="2" max="2" width="12.5546875" customWidth="1"/>
    <col min="3" max="3" width="11" bestFit="1" customWidth="1"/>
    <col min="5" max="5" width="12.6640625" bestFit="1" customWidth="1"/>
    <col min="9" max="9" width="13.6640625" bestFit="1" customWidth="1"/>
    <col min="10" max="10" width="12.33203125" bestFit="1" customWidth="1"/>
    <col min="11" max="11" width="12.88671875" bestFit="1" customWidth="1"/>
    <col min="12" max="12" width="12.33203125" bestFit="1" customWidth="1"/>
    <col min="14" max="14" width="12" bestFit="1" customWidth="1"/>
  </cols>
  <sheetData>
    <row r="1" spans="1:17" x14ac:dyDescent="0.3">
      <c r="A1" s="1" t="s">
        <v>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">
        <v>0</v>
      </c>
      <c r="J1" s="1" t="s">
        <v>1</v>
      </c>
      <c r="K1" s="1" t="s">
        <v>2</v>
      </c>
      <c r="L1" s="1" t="s">
        <v>3</v>
      </c>
      <c r="M1" s="1" t="s">
        <v>4</v>
      </c>
      <c r="N1" s="1" t="s">
        <v>5</v>
      </c>
      <c r="O1" s="1" t="s">
        <v>6</v>
      </c>
    </row>
    <row r="2" spans="1:17" x14ac:dyDescent="0.3">
      <c r="A2" s="1">
        <v>1</v>
      </c>
      <c r="B2" s="1">
        <v>3</v>
      </c>
      <c r="C2" s="1">
        <f>(5*(B2-1)-B2^2)*(EXP(-B2)-1)</f>
        <v>-0.95021293163213605</v>
      </c>
      <c r="D2" s="1">
        <v>4</v>
      </c>
      <c r="E2" s="1">
        <f t="shared" ref="E2:G2" si="0">(5*(D2-1)-D2^2)*(EXP(-D2)-1)</f>
        <v>0.98168436111126578</v>
      </c>
      <c r="F2" s="1">
        <f>(B2+D2)/2</f>
        <v>3.5</v>
      </c>
      <c r="G2" s="1">
        <f t="shared" si="0"/>
        <v>-0.24245065414442038</v>
      </c>
      <c r="I2" s="1">
        <v>1</v>
      </c>
      <c r="J2" s="1">
        <v>0.6</v>
      </c>
      <c r="K2" s="1">
        <f>J2*SIN(10*J2)-J2+1</f>
        <v>0.23235070108064448</v>
      </c>
      <c r="L2" s="1">
        <v>1.2</v>
      </c>
      <c r="M2" s="1">
        <f>L2*SIN(10*L2)-L2+1</f>
        <v>-0.84388750160052184</v>
      </c>
      <c r="N2" s="1">
        <f>(J2+L2)/2</f>
        <v>0.89999999999999991</v>
      </c>
      <c r="O2" s="1">
        <f>N2*SIN(10*N2)-N2+1</f>
        <v>0.47090663671758093</v>
      </c>
    </row>
    <row r="3" spans="1:17" x14ac:dyDescent="0.3">
      <c r="A3" s="1">
        <v>2</v>
      </c>
      <c r="B3" s="1">
        <v>3.5</v>
      </c>
      <c r="C3" s="1">
        <f t="shared" ref="C3:C4" si="1">(5*(B3-1)-B3^2)*(EXP(-B3)-1)</f>
        <v>-0.24245065414442038</v>
      </c>
      <c r="D3" s="1">
        <v>4</v>
      </c>
      <c r="E3" s="1">
        <f t="shared" ref="E3" si="2">(5*(D3-1)-D3^2)*(EXP(-D3)-1)</f>
        <v>0.98168436111126578</v>
      </c>
      <c r="F3" s="1">
        <f t="shared" ref="F3:F4" si="3">(B3+D3)/2</f>
        <v>3.75</v>
      </c>
      <c r="G3" s="1">
        <f t="shared" ref="G3" si="4">(5*(F3-1)-F3^2)*(EXP(-F3)-1)</f>
        <v>0.30515070441999714</v>
      </c>
      <c r="I3" s="1">
        <v>2</v>
      </c>
      <c r="J3" s="1">
        <v>0.9</v>
      </c>
      <c r="K3" s="1">
        <f t="shared" ref="K3:K12" si="5">J3*SIN(10*J3)-J3+1</f>
        <v>0.47090663671758093</v>
      </c>
      <c r="L3" s="1">
        <v>1.2</v>
      </c>
      <c r="M3" s="1">
        <f t="shared" ref="M3:M12" si="6">L3*SIN(10*L3)-L3+1</f>
        <v>-0.84388750160052184</v>
      </c>
      <c r="N3" s="1">
        <f t="shared" ref="N3:N12" si="7">(J3+L3)/2</f>
        <v>1.05</v>
      </c>
      <c r="O3" s="1">
        <f t="shared" ref="O3:O12" si="8">N3*SIN(10*N3)-N3+1</f>
        <v>-0.9736805479702535</v>
      </c>
    </row>
    <row r="4" spans="1:17" x14ac:dyDescent="0.3">
      <c r="A4" s="1">
        <v>3</v>
      </c>
      <c r="B4" s="1">
        <v>3.5</v>
      </c>
      <c r="C4" s="1">
        <f t="shared" si="1"/>
        <v>-0.24245065414442038</v>
      </c>
      <c r="D4" s="1">
        <v>3.75</v>
      </c>
      <c r="E4" s="1">
        <f t="shared" ref="E4" si="9">(5*(D4-1)-D4^2)*(EXP(-D4)-1)</f>
        <v>0.30515070441999714</v>
      </c>
      <c r="F4" s="1">
        <f t="shared" si="3"/>
        <v>3.625</v>
      </c>
      <c r="G4" s="1">
        <f t="shared" ref="G4" si="10">(5*(F4-1)-F4^2)*(EXP(-F4)-1)</f>
        <v>1.5208607854119446E-2</v>
      </c>
      <c r="I4" s="1">
        <v>3</v>
      </c>
      <c r="J4" s="1">
        <v>0.9</v>
      </c>
      <c r="K4" s="1">
        <f t="shared" si="5"/>
        <v>0.47090663671758093</v>
      </c>
      <c r="L4" s="1">
        <v>1.05</v>
      </c>
      <c r="M4" s="1">
        <f t="shared" si="6"/>
        <v>-0.9736805479702535</v>
      </c>
      <c r="N4" s="1">
        <f t="shared" si="7"/>
        <v>0.97500000000000009</v>
      </c>
      <c r="O4" s="1">
        <f t="shared" si="8"/>
        <v>-0.28653121378171686</v>
      </c>
    </row>
    <row r="5" spans="1:17" x14ac:dyDescent="0.3">
      <c r="I5" s="1">
        <v>4</v>
      </c>
      <c r="J5" s="2">
        <v>0.9</v>
      </c>
      <c r="K5" s="1">
        <f t="shared" si="5"/>
        <v>0.47090663671758093</v>
      </c>
      <c r="L5" s="2">
        <v>0.97499999999999998</v>
      </c>
      <c r="M5" s="1">
        <f t="shared" si="6"/>
        <v>-0.28653121378171686</v>
      </c>
      <c r="N5" s="1">
        <f t="shared" si="7"/>
        <v>0.9375</v>
      </c>
      <c r="O5" s="1">
        <f t="shared" si="8"/>
        <v>0.10914756840726125</v>
      </c>
    </row>
    <row r="6" spans="1:17" x14ac:dyDescent="0.3">
      <c r="A6" s="1" t="s">
        <v>8</v>
      </c>
      <c r="B6" s="1" t="s">
        <v>9</v>
      </c>
      <c r="C6" s="1" t="s">
        <v>10</v>
      </c>
      <c r="D6" s="1" t="s">
        <v>1</v>
      </c>
      <c r="E6" s="1" t="s">
        <v>2</v>
      </c>
      <c r="F6" s="1" t="s">
        <v>11</v>
      </c>
      <c r="G6" s="1" t="s">
        <v>12</v>
      </c>
      <c r="I6" s="1">
        <v>5</v>
      </c>
      <c r="J6" s="2">
        <v>0.9375</v>
      </c>
      <c r="K6" s="1">
        <f t="shared" si="5"/>
        <v>0.10914756840726125</v>
      </c>
      <c r="L6" s="2">
        <v>0.97499999999999998</v>
      </c>
      <c r="M6" s="1">
        <f t="shared" si="6"/>
        <v>-0.28653121378171686</v>
      </c>
      <c r="N6" s="1">
        <f t="shared" si="7"/>
        <v>0.95625000000000004</v>
      </c>
      <c r="O6" s="1">
        <f t="shared" si="8"/>
        <v>-8.7530771541581398E-2</v>
      </c>
    </row>
    <row r="7" spans="1:17" x14ac:dyDescent="0.3">
      <c r="A7" s="1">
        <v>1</v>
      </c>
      <c r="B7" s="1">
        <v>0.6</v>
      </c>
      <c r="C7" s="1">
        <f>B7*SIN(10*B7)-B7+1</f>
        <v>0.23235070108064448</v>
      </c>
      <c r="D7" s="1">
        <v>1.2</v>
      </c>
      <c r="E7" s="1">
        <f>D7*SIN(10*D7)-D7+1</f>
        <v>-0.84388750160052184</v>
      </c>
      <c r="F7" s="1">
        <f>D7-(E7*(D7-B7))/(E7-C7)</f>
        <v>0.72953491178912067</v>
      </c>
      <c r="G7" s="1">
        <f>F7*SIN(10*F7)-F7+1</f>
        <v>0.88909661862294853</v>
      </c>
      <c r="I7" s="1">
        <v>6</v>
      </c>
      <c r="J7" s="2">
        <v>0.9375</v>
      </c>
      <c r="K7" s="1">
        <f t="shared" si="5"/>
        <v>0.10914756840726125</v>
      </c>
      <c r="L7">
        <f>N6</f>
        <v>0.95625000000000004</v>
      </c>
      <c r="M7" s="1">
        <f t="shared" si="6"/>
        <v>-8.7530771541581398E-2</v>
      </c>
      <c r="N7" s="1">
        <f t="shared" si="7"/>
        <v>0.94687500000000002</v>
      </c>
      <c r="O7" s="1">
        <f t="shared" si="8"/>
        <v>1.15023915445438E-2</v>
      </c>
    </row>
    <row r="8" spans="1:17" x14ac:dyDescent="0.3">
      <c r="A8" s="1">
        <v>2</v>
      </c>
      <c r="B8" s="1">
        <f>D7</f>
        <v>1.2</v>
      </c>
      <c r="C8" s="1">
        <f t="shared" ref="C8:C9" si="11">B8*SIN(10*B8)-B8+1</f>
        <v>-0.84388750160052184</v>
      </c>
      <c r="D8" s="1">
        <f>F7</f>
        <v>0.72953491178912067</v>
      </c>
      <c r="E8" s="1">
        <f t="shared" ref="E8:E9" si="12">D8*SIN(10*D8)-D8+1</f>
        <v>0.88909661862294853</v>
      </c>
      <c r="F8" s="1">
        <f t="shared" ref="F8:F9" si="13">D8-(E8*(D8-B8))/(E8-C8)</f>
        <v>0.97090407047160254</v>
      </c>
      <c r="G8" s="1">
        <f t="shared" ref="G8:G9" si="14">F8*SIN(10*F8)-F8+1</f>
        <v>-0.24319397973566947</v>
      </c>
      <c r="I8" s="1">
        <v>7</v>
      </c>
      <c r="J8">
        <f>N7</f>
        <v>0.94687500000000002</v>
      </c>
      <c r="K8" s="1">
        <f t="shared" si="5"/>
        <v>1.15023915445438E-2</v>
      </c>
      <c r="L8">
        <f>L7</f>
        <v>0.95625000000000004</v>
      </c>
      <c r="M8" s="1">
        <f t="shared" si="6"/>
        <v>-8.7530771541581398E-2</v>
      </c>
      <c r="N8" s="1">
        <f t="shared" si="7"/>
        <v>0.95156250000000009</v>
      </c>
      <c r="O8" s="1">
        <f t="shared" si="8"/>
        <v>-3.7890274821291703E-2</v>
      </c>
    </row>
    <row r="9" spans="1:17" x14ac:dyDescent="0.3">
      <c r="A9" s="1">
        <v>3</v>
      </c>
      <c r="B9" s="1">
        <f>D8</f>
        <v>0.72953491178912067</v>
      </c>
      <c r="C9" s="1">
        <f t="shared" si="11"/>
        <v>0.88909661862294853</v>
      </c>
      <c r="D9" s="1">
        <f>F8</f>
        <v>0.97090407047160254</v>
      </c>
      <c r="E9" s="1">
        <f t="shared" si="12"/>
        <v>-0.24319397973566947</v>
      </c>
      <c r="F9" s="1">
        <f t="shared" si="13"/>
        <v>0.91906267359827809</v>
      </c>
      <c r="G9" s="1">
        <f t="shared" si="14"/>
        <v>0.29417590953276518</v>
      </c>
      <c r="I9" s="1">
        <v>8</v>
      </c>
      <c r="J9">
        <f>J8</f>
        <v>0.94687500000000002</v>
      </c>
      <c r="K9" s="1">
        <f t="shared" si="5"/>
        <v>1.15023915445438E-2</v>
      </c>
      <c r="L9">
        <f>N8</f>
        <v>0.95156250000000009</v>
      </c>
      <c r="M9" s="1">
        <f t="shared" si="6"/>
        <v>-3.7890274821291703E-2</v>
      </c>
      <c r="N9" s="1">
        <f t="shared" si="7"/>
        <v>0.94921875</v>
      </c>
      <c r="O9" s="1">
        <f t="shared" si="8"/>
        <v>-1.3156700052633363E-2</v>
      </c>
    </row>
    <row r="10" spans="1:17" x14ac:dyDescent="0.3">
      <c r="I10" s="1">
        <v>9</v>
      </c>
      <c r="J10">
        <f>J9</f>
        <v>0.94687500000000002</v>
      </c>
      <c r="K10" s="1">
        <f t="shared" si="5"/>
        <v>1.15023915445438E-2</v>
      </c>
      <c r="L10">
        <f>N9</f>
        <v>0.94921875</v>
      </c>
      <c r="M10" s="1">
        <f t="shared" si="6"/>
        <v>-1.3156700052633363E-2</v>
      </c>
      <c r="N10" s="1">
        <f t="shared" si="7"/>
        <v>0.94804687499999996</v>
      </c>
      <c r="O10" s="1">
        <f t="shared" si="8"/>
        <v>-8.1706634829692426E-4</v>
      </c>
    </row>
    <row r="11" spans="1:17" x14ac:dyDescent="0.3">
      <c r="A11" t="s">
        <v>13</v>
      </c>
      <c r="B11">
        <f>ABS(F9-F8)/F9</f>
        <v>5.6406813553157423E-2</v>
      </c>
      <c r="I11" s="1">
        <v>10</v>
      </c>
      <c r="J11">
        <f>J10</f>
        <v>0.94687500000000002</v>
      </c>
      <c r="K11" s="1">
        <f t="shared" si="5"/>
        <v>1.15023915445438E-2</v>
      </c>
      <c r="L11">
        <f>N10</f>
        <v>0.94804687499999996</v>
      </c>
      <c r="M11" s="1">
        <f t="shared" si="6"/>
        <v>-8.1706634829692426E-4</v>
      </c>
      <c r="N11" s="1">
        <f t="shared" si="7"/>
        <v>0.94746093750000004</v>
      </c>
      <c r="O11" s="1">
        <f t="shared" si="8"/>
        <v>5.3452814116534686E-3</v>
      </c>
    </row>
    <row r="12" spans="1:17" x14ac:dyDescent="0.3">
      <c r="I12" s="1">
        <v>11</v>
      </c>
      <c r="J12">
        <f>N11</f>
        <v>0.94746093750000004</v>
      </c>
      <c r="K12" s="1">
        <f t="shared" si="5"/>
        <v>5.3452814116534686E-3</v>
      </c>
      <c r="L12">
        <f>L11</f>
        <v>0.94804687499999996</v>
      </c>
      <c r="M12" s="1">
        <f t="shared" si="6"/>
        <v>-8.1706634829692426E-4</v>
      </c>
      <c r="N12" s="1">
        <f t="shared" si="7"/>
        <v>0.94775390625</v>
      </c>
      <c r="O12" s="1">
        <f t="shared" si="8"/>
        <v>2.2647501464618802E-3</v>
      </c>
    </row>
    <row r="16" spans="1:17" x14ac:dyDescent="0.3">
      <c r="A16" s="1" t="s">
        <v>7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  <c r="G16" s="1" t="s">
        <v>6</v>
      </c>
      <c r="I16" s="1" t="s">
        <v>14</v>
      </c>
      <c r="J16" s="1" t="s">
        <v>1</v>
      </c>
      <c r="K16" s="1" t="s">
        <v>2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</row>
    <row r="17" spans="1:17" x14ac:dyDescent="0.3">
      <c r="A17" s="1">
        <v>1</v>
      </c>
      <c r="B17" s="1">
        <v>0.6</v>
      </c>
      <c r="C17" s="1">
        <f>B17*SIN(10*B17)-B17+1</f>
        <v>0.23235070108064448</v>
      </c>
      <c r="D17" s="1">
        <v>1.2</v>
      </c>
      <c r="E17" s="1">
        <f>D17*SIN(10*D17)-D17+1</f>
        <v>-0.84388750160052184</v>
      </c>
      <c r="F17" s="1">
        <f>(B17+D17)/2</f>
        <v>0.89999999999999991</v>
      </c>
      <c r="G17" s="1">
        <f t="shared" ref="G17:G19" si="15">(5*(F17-1)-F17^2)*(EXP(-F17)-1)</f>
        <v>0.77739374573981523</v>
      </c>
      <c r="I17" s="1">
        <v>1</v>
      </c>
      <c r="J17" s="1">
        <v>0.6</v>
      </c>
      <c r="K17" s="1">
        <f>J17*SIN(10*J17)-J17+1</f>
        <v>0.23235070108064448</v>
      </c>
      <c r="L17" s="1">
        <v>1.2</v>
      </c>
      <c r="M17" s="1">
        <f>L17*SIN(10*L17)-L17+1</f>
        <v>-0.84388750160052184</v>
      </c>
      <c r="N17" s="1">
        <f>(J17+L17)/2</f>
        <v>0.89999999999999991</v>
      </c>
      <c r="O17" s="1">
        <f>N17*SIN(10*N17)-N17+1</f>
        <v>0.47090663671758093</v>
      </c>
      <c r="P17" s="1">
        <f>N17+(N17-J17)*(SIGN(K17-M17)*O17)/SQRT(O17^2-K17*M17)</f>
        <v>1.1185525016176532</v>
      </c>
      <c r="Q17" s="1">
        <f>P17*SIN(10*P17)-P17+1</f>
        <v>-1.2169862025850575</v>
      </c>
    </row>
    <row r="18" spans="1:17" x14ac:dyDescent="0.3">
      <c r="A18" s="1">
        <v>2</v>
      </c>
      <c r="B18" s="1">
        <v>0.9</v>
      </c>
      <c r="C18" s="1">
        <f t="shared" ref="C18:C19" si="16">B18*SIN(10*B18)-B18+1</f>
        <v>0.47090663671758093</v>
      </c>
      <c r="D18" s="1">
        <v>1.2</v>
      </c>
      <c r="E18" s="1">
        <f t="shared" ref="E18:E19" si="17">D18*SIN(10*D18)-D18+1</f>
        <v>-0.84388750160052184</v>
      </c>
      <c r="F18" s="1">
        <f t="shared" ref="F18:F19" si="18">(B18+D18)/2</f>
        <v>1.05</v>
      </c>
      <c r="G18" s="1">
        <f t="shared" si="15"/>
        <v>0.55417806888274002</v>
      </c>
      <c r="I18" s="1">
        <v>2</v>
      </c>
      <c r="J18" s="1">
        <v>0.9</v>
      </c>
      <c r="K18" s="1">
        <f t="shared" ref="K18:K19" si="19">J18*SIN(10*J18)-J18+1</f>
        <v>0.47090663671758093</v>
      </c>
      <c r="L18" s="1">
        <f>P17</f>
        <v>1.1185525016176532</v>
      </c>
      <c r="M18" s="1">
        <f t="shared" ref="M18:M19" si="20">L18*SIN(10*L18)-L18+1</f>
        <v>-1.2169862025850575</v>
      </c>
      <c r="N18" s="1">
        <f t="shared" ref="N18:N19" si="21">(J18+L18)/2</f>
        <v>1.0092762508088267</v>
      </c>
      <c r="O18" s="1">
        <f t="shared" ref="O18:O19" si="22">N18*SIN(10*N18)-N18+1</f>
        <v>-0.6344269780662477</v>
      </c>
      <c r="P18" s="1">
        <f t="shared" ref="P18:P19" si="23">N18+(N18-J18)*(SIGN(K18-M18)*O18)/SQRT(O18^2-K18*M18)</f>
        <v>0.9390862916822027</v>
      </c>
      <c r="Q18" s="1">
        <f t="shared" ref="Q18:Q19" si="24">P18*SIN(10*P18)-P18+1</f>
        <v>9.2756755878750319E-2</v>
      </c>
    </row>
    <row r="19" spans="1:17" x14ac:dyDescent="0.3">
      <c r="A19" s="1">
        <v>3</v>
      </c>
      <c r="B19" s="1">
        <v>3.5</v>
      </c>
      <c r="C19" s="1">
        <f t="shared" si="16"/>
        <v>-3.9986393432365288</v>
      </c>
      <c r="D19" s="1">
        <v>3.75</v>
      </c>
      <c r="E19" s="1">
        <f t="shared" si="17"/>
        <v>-3.4917454986367336</v>
      </c>
      <c r="F19" s="1">
        <f t="shared" si="18"/>
        <v>3.625</v>
      </c>
      <c r="G19" s="1">
        <f t="shared" si="15"/>
        <v>1.5208607854119446E-2</v>
      </c>
      <c r="I19" s="1">
        <v>3</v>
      </c>
      <c r="J19" s="1">
        <f>N18</f>
        <v>1.0092762508088267</v>
      </c>
      <c r="K19" s="1">
        <f t="shared" si="19"/>
        <v>-0.6344269780662477</v>
      </c>
      <c r="L19" s="1">
        <f>P18</f>
        <v>0.9390862916822027</v>
      </c>
      <c r="M19" s="1">
        <f t="shared" si="20"/>
        <v>9.2756755878750319E-2</v>
      </c>
      <c r="N19" s="1">
        <f t="shared" si="21"/>
        <v>0.97418127124551468</v>
      </c>
      <c r="O19" s="1">
        <f t="shared" si="22"/>
        <v>-0.2778827336746752</v>
      </c>
      <c r="P19" s="1">
        <f t="shared" si="23"/>
        <v>0.94774309915386556</v>
      </c>
      <c r="Q19" s="1">
        <f t="shared" si="24"/>
        <v>2.3784084450663157E-3</v>
      </c>
    </row>
    <row r="21" spans="1:17" x14ac:dyDescent="0.3">
      <c r="A21" s="1" t="s">
        <v>8</v>
      </c>
      <c r="B21" s="1" t="s">
        <v>9</v>
      </c>
      <c r="C21" s="1" t="s">
        <v>10</v>
      </c>
      <c r="D21" s="1" t="s">
        <v>1</v>
      </c>
      <c r="E21" s="1" t="s">
        <v>2</v>
      </c>
      <c r="F21" s="1" t="s">
        <v>11</v>
      </c>
      <c r="G21" s="1" t="s">
        <v>12</v>
      </c>
      <c r="I21" t="s">
        <v>13</v>
      </c>
      <c r="J21">
        <f>ABS(P19-P18)/P19</f>
        <v>9.1341287310786699E-3</v>
      </c>
    </row>
    <row r="22" spans="1:17" ht="15" thickBot="1" x14ac:dyDescent="0.35">
      <c r="A22" s="1">
        <v>1</v>
      </c>
      <c r="B22" s="1">
        <v>0</v>
      </c>
      <c r="C22" s="1">
        <f>3*B22+SIN(B22)-EXP(B22)</f>
        <v>-1</v>
      </c>
      <c r="D22" s="1">
        <v>1</v>
      </c>
      <c r="E22" s="1">
        <f>3*D22+SIN(D22)-EXP(D22)</f>
        <v>1.1231891563488516</v>
      </c>
      <c r="F22" s="1">
        <f>D22-(E22*(D22-B22))/(E22-C22)</f>
        <v>0.4709895945962973</v>
      </c>
      <c r="G22" s="1">
        <f>3*F22+SIN(F22)-EXP(F22)</f>
        <v>0.26515881591031087</v>
      </c>
    </row>
    <row r="23" spans="1:17" x14ac:dyDescent="0.3">
      <c r="A23" s="1">
        <v>2</v>
      </c>
      <c r="B23" s="1">
        <f>D22</f>
        <v>1</v>
      </c>
      <c r="C23" s="1">
        <f t="shared" ref="C23:C24" si="25">3*B23+SIN(B23)-EXP(B23)</f>
        <v>1.1231891563488516</v>
      </c>
      <c r="D23" s="1">
        <f>F22</f>
        <v>0.4709895945962973</v>
      </c>
      <c r="E23" s="1">
        <f t="shared" ref="E23:E24" si="26">3*D23+SIN(D23)-EXP(D23)</f>
        <v>0.26515881591031087</v>
      </c>
      <c r="F23" s="1">
        <f t="shared" ref="F23:F24" si="27">D23-(E23*(D23-B23))/(E23-C23)</f>
        <v>0.30750846101611856</v>
      </c>
      <c r="G23" s="1">
        <f t="shared" ref="G23:G24" si="28">3*F23+SIN(F23)-EXP(F23)</f>
        <v>-0.13482201684281825</v>
      </c>
      <c r="I23" s="13" t="s">
        <v>48</v>
      </c>
      <c r="J23" s="4"/>
      <c r="K23" s="4"/>
      <c r="L23" s="4"/>
      <c r="M23" s="4"/>
      <c r="N23" s="4"/>
      <c r="O23" s="5"/>
    </row>
    <row r="24" spans="1:17" x14ac:dyDescent="0.3">
      <c r="A24" s="1">
        <v>3</v>
      </c>
      <c r="B24" s="1">
        <f>D23</f>
        <v>0.4709895945962973</v>
      </c>
      <c r="C24" s="1">
        <f t="shared" si="25"/>
        <v>0.26515881591031087</v>
      </c>
      <c r="D24" s="1">
        <f>F23</f>
        <v>0.30750846101611856</v>
      </c>
      <c r="E24" s="1">
        <f t="shared" si="26"/>
        <v>-0.13482201684281825</v>
      </c>
      <c r="F24" s="1">
        <f t="shared" si="27"/>
        <v>0.36261324189604049</v>
      </c>
      <c r="G24" s="1">
        <f t="shared" si="28"/>
        <v>5.4785286936818167E-3</v>
      </c>
      <c r="I24" s="6"/>
      <c r="J24" s="7">
        <f>-2*LOG10((N29/N26)/3.7+2.51/(L26*SQRT(J26)))</f>
        <v>6.8640459147391208</v>
      </c>
      <c r="K24" s="7"/>
      <c r="L24" s="7"/>
      <c r="M24" s="7"/>
      <c r="N24" s="7"/>
      <c r="O24" s="8"/>
    </row>
    <row r="25" spans="1:17" x14ac:dyDescent="0.3">
      <c r="I25" s="9" t="s">
        <v>27</v>
      </c>
      <c r="J25" s="1" t="s">
        <v>28</v>
      </c>
      <c r="K25" s="1" t="s">
        <v>29</v>
      </c>
      <c r="L25" s="1" t="s">
        <v>30</v>
      </c>
      <c r="M25" s="3" t="s">
        <v>31</v>
      </c>
      <c r="N25" s="7">
        <v>225</v>
      </c>
      <c r="O25" s="8" t="s">
        <v>39</v>
      </c>
    </row>
    <row r="26" spans="1:17" x14ac:dyDescent="0.3">
      <c r="A26" s="1" t="s">
        <v>21</v>
      </c>
      <c r="B26" s="1" t="s">
        <v>22</v>
      </c>
      <c r="C26" s="1" t="s">
        <v>23</v>
      </c>
      <c r="I26" s="9">
        <v>1</v>
      </c>
      <c r="J26" s="1">
        <v>0.01</v>
      </c>
      <c r="K26" s="1">
        <f>SQRT(($N$27/($N$34*$N$36)+$N$31+$N$30-$N$28/($N$34*$N$36)-$N$32)/(J26*$N$25/$N$26+$N$33)*(PI()^2*$N$36*$N$26^4)/8)</f>
        <v>7.5216091591409993E-3</v>
      </c>
      <c r="L26" s="1">
        <f>4*K26/(PI()*$N$35*$N$26)</f>
        <v>181688.67807741446</v>
      </c>
      <c r="M26" s="7" t="s">
        <v>32</v>
      </c>
      <c r="N26" s="7">
        <v>5.2499999999999998E-2</v>
      </c>
      <c r="O26" s="8" t="s">
        <v>39</v>
      </c>
    </row>
    <row r="27" spans="1:17" x14ac:dyDescent="0.3">
      <c r="A27" s="1" t="s">
        <v>24</v>
      </c>
      <c r="B27" s="1" t="s">
        <v>25</v>
      </c>
      <c r="C27" s="1">
        <v>3</v>
      </c>
      <c r="I27" s="9">
        <v>2</v>
      </c>
      <c r="J27" s="1">
        <v>2.0593400000000001E-2</v>
      </c>
      <c r="K27" s="1">
        <f>SQRT(($N$27/($N$34*$N$36)+$N$31+$N$30-$N$28/($N$34*$N$36)-$N$32)/(J27*$N$25/$N$26+$N$33)*(PI()^2*$N$36*$N$26^4)/8)</f>
        <v>5.6555821294864495E-3</v>
      </c>
      <c r="L27" s="1">
        <f>4*K27/(PI()*$N$35*$N$26)</f>
        <v>136613.7510104278</v>
      </c>
      <c r="M27" s="7" t="s">
        <v>33</v>
      </c>
      <c r="N27" s="7">
        <v>350000</v>
      </c>
      <c r="O27" s="8" t="s">
        <v>40</v>
      </c>
    </row>
    <row r="28" spans="1:17" x14ac:dyDescent="0.3">
      <c r="A28" s="1">
        <v>1</v>
      </c>
      <c r="B28" s="1">
        <f>C27^3-1</f>
        <v>26</v>
      </c>
      <c r="C28" s="1">
        <f>SQRT((120-B28)/8)</f>
        <v>3.427827300200522</v>
      </c>
      <c r="I28" s="9">
        <v>3</v>
      </c>
      <c r="J28" s="1">
        <v>2.1055500000000001E-2</v>
      </c>
      <c r="K28" s="1">
        <f>SQRT(($N$27/($N$34*$N$36)+$N$31+$N$30-$N$28/($N$34*$N$36)-$N$32)/(J28*$N$25/$N$26+$N$33)*(PI()^2*$N$36*$N$26^4)/8)</f>
        <v>5.6027199835778571E-3</v>
      </c>
      <c r="L28" s="1">
        <f>4*K28/(PI()*$N$35*$N$26)</f>
        <v>135336.83629613489</v>
      </c>
      <c r="M28" s="7" t="s">
        <v>34</v>
      </c>
      <c r="N28" s="7">
        <v>425000</v>
      </c>
      <c r="O28" s="8" t="s">
        <v>40</v>
      </c>
    </row>
    <row r="29" spans="1:17" x14ac:dyDescent="0.3">
      <c r="A29" s="1">
        <v>2</v>
      </c>
      <c r="B29" s="1">
        <f>C28^3-1</f>
        <v>39.276970777356134</v>
      </c>
      <c r="C29" s="1">
        <f t="shared" ref="C29:C30" si="29">SQRT((120-B29)/8)</f>
        <v>3.176535636952698</v>
      </c>
      <c r="I29" s="6"/>
      <c r="J29" s="7"/>
      <c r="K29" s="7"/>
      <c r="L29" s="7"/>
      <c r="M29" s="7" t="s">
        <v>35</v>
      </c>
      <c r="N29" s="7">
        <v>4.5000000000000003E-5</v>
      </c>
      <c r="O29" s="8" t="s">
        <v>39</v>
      </c>
    </row>
    <row r="30" spans="1:17" x14ac:dyDescent="0.3">
      <c r="A30" s="1">
        <v>3</v>
      </c>
      <c r="B30" s="1">
        <f t="shared" ref="B30" si="30">C29^3-1</f>
        <v>31.052447381062784</v>
      </c>
      <c r="C30" s="1">
        <f t="shared" si="29"/>
        <v>3.3344330968497706</v>
      </c>
      <c r="D30" s="1" t="s">
        <v>26</v>
      </c>
      <c r="E30" s="1">
        <f>ABS(B30-B29)/B30</f>
        <v>0.26485910419122211</v>
      </c>
      <c r="F30" s="1">
        <f>ABS(C30-C29)/C30</f>
        <v>4.7353614635797417E-2</v>
      </c>
      <c r="I30" s="6"/>
      <c r="J30" s="7"/>
      <c r="K30" s="7"/>
      <c r="L30" s="7"/>
      <c r="M30" s="7" t="s">
        <v>36</v>
      </c>
      <c r="N30" s="7">
        <v>56</v>
      </c>
      <c r="O30" s="8" t="s">
        <v>41</v>
      </c>
    </row>
    <row r="31" spans="1:17" x14ac:dyDescent="0.3">
      <c r="A31" s="1">
        <v>4</v>
      </c>
      <c r="B31" s="1">
        <f t="shared" ref="B31:B37" si="31">C30^3-1</f>
        <v>36.073707917046342</v>
      </c>
      <c r="C31" s="1">
        <f t="shared" ref="C31:C37" si="32">SQRT((120-B31)/8)</f>
        <v>3.2389483648816029</v>
      </c>
      <c r="I31" s="6"/>
      <c r="J31" s="7"/>
      <c r="K31" s="7"/>
      <c r="L31" s="7"/>
      <c r="M31" s="7" t="s">
        <v>37</v>
      </c>
      <c r="N31" s="7">
        <v>0</v>
      </c>
      <c r="O31" s="8" t="s">
        <v>39</v>
      </c>
    </row>
    <row r="32" spans="1:17" x14ac:dyDescent="0.3">
      <c r="A32" s="1">
        <v>5</v>
      </c>
      <c r="B32" s="1">
        <f t="shared" si="31"/>
        <v>32.97911581408232</v>
      </c>
      <c r="C32" s="1">
        <f t="shared" si="32"/>
        <v>3.2981222723300769</v>
      </c>
      <c r="I32" s="6"/>
      <c r="J32" s="7"/>
      <c r="K32" s="7"/>
      <c r="L32" s="7"/>
      <c r="M32" s="7" t="s">
        <v>38</v>
      </c>
      <c r="N32" s="7">
        <v>12</v>
      </c>
      <c r="O32" s="8" t="s">
        <v>39</v>
      </c>
    </row>
    <row r="33" spans="1:17" x14ac:dyDescent="0.3">
      <c r="A33" s="1">
        <v>6</v>
      </c>
      <c r="B33" s="1">
        <f t="shared" si="31"/>
        <v>34.875689536428908</v>
      </c>
      <c r="C33" s="1">
        <f t="shared" si="32"/>
        <v>3.2619838761015338</v>
      </c>
      <c r="I33" s="6"/>
      <c r="J33" s="7"/>
      <c r="K33" s="7"/>
      <c r="L33" s="7"/>
      <c r="M33" s="7" t="s">
        <v>42</v>
      </c>
      <c r="N33" s="7">
        <v>16.2</v>
      </c>
      <c r="O33" s="8"/>
    </row>
    <row r="34" spans="1:17" x14ac:dyDescent="0.3">
      <c r="A34" s="1">
        <v>7</v>
      </c>
      <c r="B34" s="1">
        <f t="shared" si="31"/>
        <v>33.709266024553749</v>
      </c>
      <c r="C34" s="1">
        <f t="shared" si="32"/>
        <v>3.2842566505878894</v>
      </c>
      <c r="I34" s="6"/>
      <c r="J34" s="7"/>
      <c r="K34" s="7"/>
      <c r="L34" s="7"/>
      <c r="M34" s="7" t="s">
        <v>43</v>
      </c>
      <c r="N34" s="7">
        <v>998</v>
      </c>
      <c r="O34" s="8" t="s">
        <v>44</v>
      </c>
    </row>
    <row r="35" spans="1:17" x14ac:dyDescent="0.3">
      <c r="A35" s="1">
        <v>8</v>
      </c>
      <c r="B35" s="1">
        <f t="shared" si="31"/>
        <v>34.425114617871216</v>
      </c>
      <c r="C35" s="1">
        <f t="shared" si="32"/>
        <v>3.2706055513874031</v>
      </c>
      <c r="I35" s="6"/>
      <c r="J35" s="7"/>
      <c r="K35" s="7"/>
      <c r="L35" s="7"/>
      <c r="M35" s="7" t="s">
        <v>45</v>
      </c>
      <c r="N35" s="7">
        <v>1.004E-6</v>
      </c>
      <c r="O35" s="8" t="s">
        <v>44</v>
      </c>
    </row>
    <row r="36" spans="1:17" ht="15" thickBot="1" x14ac:dyDescent="0.35">
      <c r="A36" s="1">
        <v>9</v>
      </c>
      <c r="B36" s="1">
        <f t="shared" si="31"/>
        <v>33.985211898766394</v>
      </c>
      <c r="C36" s="1">
        <f t="shared" si="32"/>
        <v>3.2790011455707364</v>
      </c>
      <c r="I36" s="10"/>
      <c r="J36" s="11"/>
      <c r="K36" s="11"/>
      <c r="L36" s="11"/>
      <c r="M36" s="11" t="s">
        <v>46</v>
      </c>
      <c r="N36" s="11">
        <v>9.81</v>
      </c>
      <c r="O36" s="12" t="s">
        <v>47</v>
      </c>
    </row>
    <row r="37" spans="1:17" x14ac:dyDescent="0.3">
      <c r="A37" s="1">
        <v>10</v>
      </c>
      <c r="B37" s="1">
        <f t="shared" si="31"/>
        <v>34.255323589996145</v>
      </c>
      <c r="C37" s="1">
        <f t="shared" si="32"/>
        <v>3.2738485840445462</v>
      </c>
    </row>
    <row r="38" spans="1:17" x14ac:dyDescent="0.3">
      <c r="A38" s="1">
        <v>11</v>
      </c>
      <c r="B38" s="1">
        <f t="shared" ref="B38:B40" si="33">C37^3-1</f>
        <v>34.089385931781109</v>
      </c>
      <c r="C38" s="1">
        <f t="shared" ref="C38:C40" si="34">SQRT((120-B38)/8)</f>
        <v>3.277014915823143</v>
      </c>
    </row>
    <row r="39" spans="1:17" x14ac:dyDescent="0.3">
      <c r="A39" s="1">
        <v>12</v>
      </c>
      <c r="B39" s="1">
        <f t="shared" si="33"/>
        <v>34.191295466134854</v>
      </c>
      <c r="C39" s="1">
        <f t="shared" si="34"/>
        <v>3.2750706964481155</v>
      </c>
    </row>
    <row r="40" spans="1:17" x14ac:dyDescent="0.3">
      <c r="A40" s="1">
        <v>13</v>
      </c>
      <c r="B40" s="1">
        <f t="shared" si="33"/>
        <v>34.128696714879538</v>
      </c>
      <c r="C40" s="1">
        <f t="shared" si="34"/>
        <v>3.2762650855265143</v>
      </c>
    </row>
    <row r="41" spans="1:17" ht="15" thickBot="1" x14ac:dyDescent="0.35"/>
    <row r="42" spans="1:17" x14ac:dyDescent="0.3">
      <c r="A42" s="16" t="s">
        <v>49</v>
      </c>
      <c r="B42" s="4"/>
      <c r="C42" s="4"/>
      <c r="D42" s="4"/>
      <c r="E42" s="4"/>
      <c r="F42" s="5"/>
      <c r="L42" s="1" t="s">
        <v>23</v>
      </c>
      <c r="M42" s="1" t="s">
        <v>54</v>
      </c>
      <c r="N42" s="1" t="s">
        <v>55</v>
      </c>
      <c r="O42" s="1" t="s">
        <v>56</v>
      </c>
      <c r="P42" s="1" t="s">
        <v>57</v>
      </c>
      <c r="Q42" s="1" t="s">
        <v>58</v>
      </c>
    </row>
    <row r="43" spans="1:17" x14ac:dyDescent="0.3">
      <c r="A43" s="17" t="s">
        <v>23</v>
      </c>
      <c r="B43" s="14" t="s">
        <v>22</v>
      </c>
      <c r="C43" s="7" t="s">
        <v>52</v>
      </c>
      <c r="D43" s="7" t="s">
        <v>53</v>
      </c>
      <c r="E43" s="7" t="s">
        <v>50</v>
      </c>
      <c r="F43" s="8">
        <f>(4*SUM(D44:D47)-SUM(A44:A47)*SUM(B44:B47))/(4*SUM(C44:C47)-SUM(A44:A47)^2)</f>
        <v>1.7776484284051208</v>
      </c>
      <c r="L43" s="1">
        <v>0</v>
      </c>
      <c r="M43" s="1">
        <v>0</v>
      </c>
      <c r="N43" s="1">
        <f>(M44-M43)/(L44-L43)</f>
        <v>0.49</v>
      </c>
      <c r="O43" s="1">
        <f>(N44-N43)/(L45-L43)</f>
        <v>-7.2499999999999995E-2</v>
      </c>
      <c r="P43" s="1">
        <f>(O44-O43)/(L46-L43)</f>
        <v>-5.2343749999999918E-2</v>
      </c>
      <c r="Q43" s="1">
        <f>(P44-P43)/(L47-L43)</f>
        <v>8.9518229166663747E-3</v>
      </c>
    </row>
    <row r="44" spans="1:17" x14ac:dyDescent="0.3">
      <c r="A44" s="6">
        <v>0.5</v>
      </c>
      <c r="B44" s="15">
        <v>8.6999999999999993</v>
      </c>
      <c r="C44" s="7">
        <f>A44^2</f>
        <v>0.25</v>
      </c>
      <c r="D44" s="7">
        <f>A44*B44</f>
        <v>4.3499999999999996</v>
      </c>
      <c r="E44" s="7" t="s">
        <v>51</v>
      </c>
      <c r="F44" s="8">
        <f>AVERAGE(B44:B47)-F43*AVERAGE(A44:A47)</f>
        <v>7.7307334109429595</v>
      </c>
      <c r="L44" s="1">
        <v>0.4</v>
      </c>
      <c r="M44" s="1">
        <v>0.19600000000000001</v>
      </c>
      <c r="N44" s="1">
        <f t="shared" ref="N44:N46" si="35">(M45-M44)/(L45-L44)</f>
        <v>0.432</v>
      </c>
      <c r="O44" s="1">
        <f t="shared" ref="O44:O45" si="36">(N45-N44)/(L46-L44)</f>
        <v>-0.13531249999999989</v>
      </c>
      <c r="P44" s="1">
        <f>(O45-O44)/(L47-L44)</f>
        <v>-3.8020833333333719E-2</v>
      </c>
      <c r="Q44" s="1"/>
    </row>
    <row r="45" spans="1:17" x14ac:dyDescent="0.3">
      <c r="A45" s="6">
        <v>0.9</v>
      </c>
      <c r="B45" s="15">
        <v>9.3000000000000007</v>
      </c>
      <c r="C45" s="7">
        <f t="shared" ref="C45:C47" si="37">A45^2</f>
        <v>0.81</v>
      </c>
      <c r="D45" s="7">
        <f>A45*B45</f>
        <v>8.370000000000001</v>
      </c>
      <c r="E45" s="7"/>
      <c r="F45" s="8"/>
      <c r="L45" s="1">
        <v>0.8</v>
      </c>
      <c r="M45" s="1">
        <v>0.36880000000000002</v>
      </c>
      <c r="N45" s="1">
        <f t="shared" si="35"/>
        <v>0.32375000000000009</v>
      </c>
      <c r="O45" s="1">
        <f t="shared" si="36"/>
        <v>-0.18093750000000036</v>
      </c>
      <c r="P45" s="1"/>
      <c r="Q45" s="1"/>
    </row>
    <row r="46" spans="1:17" x14ac:dyDescent="0.3">
      <c r="A46" s="6">
        <v>1.7</v>
      </c>
      <c r="B46" s="15">
        <v>10.6</v>
      </c>
      <c r="C46" s="7">
        <f t="shared" si="37"/>
        <v>2.8899999999999997</v>
      </c>
      <c r="D46" s="7">
        <f>A46*B46</f>
        <v>18.02</v>
      </c>
      <c r="E46" s="7"/>
      <c r="F46" s="8"/>
      <c r="L46" s="1">
        <v>1.2</v>
      </c>
      <c r="M46" s="1">
        <v>0.49830000000000002</v>
      </c>
      <c r="N46" s="1">
        <f t="shared" si="35"/>
        <v>0.1789999999999998</v>
      </c>
      <c r="O46" s="1"/>
      <c r="P46" s="1"/>
      <c r="Q46" s="1"/>
    </row>
    <row r="47" spans="1:17" ht="15" thickBot="1" x14ac:dyDescent="0.35">
      <c r="A47" s="10">
        <v>2.4</v>
      </c>
      <c r="B47" s="18">
        <v>12.1</v>
      </c>
      <c r="C47" s="11">
        <f t="shared" si="37"/>
        <v>5.76</v>
      </c>
      <c r="D47" s="11">
        <f>A47*B47</f>
        <v>29.04</v>
      </c>
      <c r="E47" s="11"/>
      <c r="F47" s="12"/>
      <c r="L47" s="1">
        <v>1.6</v>
      </c>
      <c r="M47" s="1">
        <v>0.56989999999999996</v>
      </c>
      <c r="N47" s="1"/>
      <c r="O47" s="1"/>
      <c r="P47" s="1"/>
      <c r="Q47" s="1"/>
    </row>
    <row r="48" spans="1:17" x14ac:dyDescent="0.3">
      <c r="L48" s="1"/>
      <c r="M48" s="1"/>
      <c r="N48" s="1"/>
      <c r="O48" s="1"/>
      <c r="P48" s="1"/>
      <c r="Q48" s="1"/>
    </row>
    <row r="49" spans="12:17" x14ac:dyDescent="0.3">
      <c r="L49" s="1"/>
      <c r="M49" s="1"/>
      <c r="N49" s="1">
        <f>M43+(0.6-L43)*N43</f>
        <v>0.29399999999999998</v>
      </c>
      <c r="O49" s="1">
        <f>N49+(0.6-L43)*(0.6-L44)*O43</f>
        <v>0.2853</v>
      </c>
      <c r="P49" s="1">
        <f>O49+(0.6-L43)*(0.6-L44)*(0.6-L45)*P43</f>
        <v>0.28655625000000001</v>
      </c>
      <c r="Q49" s="1">
        <f>P49+(0.6-L43)*(0.6-L44)*(0.6-L45)*(0.6-L46)*Q43</f>
        <v>0.28668515625000002</v>
      </c>
    </row>
    <row r="65" spans="1:12" ht="15" thickBot="1" x14ac:dyDescent="0.35"/>
    <row r="66" spans="1:12" ht="15" thickBot="1" x14ac:dyDescent="0.35">
      <c r="H66" s="19" t="s">
        <v>64</v>
      </c>
      <c r="I66" s="20"/>
      <c r="J66" s="20"/>
      <c r="K66" s="20"/>
      <c r="L66" s="21"/>
    </row>
    <row r="67" spans="1:12" x14ac:dyDescent="0.3">
      <c r="A67" s="19" t="s">
        <v>23</v>
      </c>
      <c r="B67" s="20" t="s">
        <v>22</v>
      </c>
      <c r="C67" s="20" t="s">
        <v>59</v>
      </c>
      <c r="D67" s="20" t="s">
        <v>60</v>
      </c>
      <c r="E67" s="20" t="s">
        <v>61</v>
      </c>
      <c r="F67" s="21" t="s">
        <v>63</v>
      </c>
      <c r="H67" s="9" t="s">
        <v>23</v>
      </c>
      <c r="I67" s="1" t="s">
        <v>22</v>
      </c>
      <c r="J67" s="1" t="s">
        <v>65</v>
      </c>
      <c r="K67" s="1" t="s">
        <v>66</v>
      </c>
      <c r="L67" s="22" t="s">
        <v>67</v>
      </c>
    </row>
    <row r="68" spans="1:12" x14ac:dyDescent="0.3">
      <c r="A68" s="9">
        <v>0</v>
      </c>
      <c r="B68" s="1">
        <v>1.2</v>
      </c>
      <c r="C68" s="1">
        <f>(B69-B68)/(A69-A68)</f>
        <v>-0.38600000000000012</v>
      </c>
      <c r="D68" s="1"/>
      <c r="E68" s="1"/>
      <c r="F68" s="22"/>
      <c r="H68" s="9">
        <v>0.3</v>
      </c>
      <c r="I68" s="1">
        <v>-1.204</v>
      </c>
      <c r="J68" s="1">
        <f>(H69-H68)*(I68+I69)/2</f>
        <v>-0.18971000000000002</v>
      </c>
      <c r="K68" s="1">
        <f>(H70-H68)*(I68+4*I69+I70)/6</f>
        <v>-0.28887333333333332</v>
      </c>
      <c r="L68" s="22">
        <f>(H71-H68)*(I68+3*I69+3*I70+I71)/8</f>
        <v>-0.33441000000000004</v>
      </c>
    </row>
    <row r="69" spans="1:12" x14ac:dyDescent="0.3">
      <c r="A69" s="9">
        <v>0.25</v>
      </c>
      <c r="B69" s="1">
        <v>1.1034999999999999</v>
      </c>
      <c r="C69" s="1">
        <f t="shared" ref="C69:C71" si="38">(B70-B69)/(A70-A69)</f>
        <v>-0.71399999999999952</v>
      </c>
      <c r="D69" s="1">
        <f>(B69-B68)/(A69-A68)</f>
        <v>-0.38600000000000012</v>
      </c>
      <c r="E69" s="1">
        <f>(B70-B68)/(A70-A68)</f>
        <v>-0.54999999999999982</v>
      </c>
      <c r="F69" s="22"/>
      <c r="H69" s="9">
        <v>0.5</v>
      </c>
      <c r="I69" s="1">
        <v>-0.69310000000000005</v>
      </c>
      <c r="J69" s="1">
        <f t="shared" ref="J69:J73" si="39">(H70-H69)*(I69+I70)/2</f>
        <v>-0.10497999999999999</v>
      </c>
      <c r="K69" s="1"/>
      <c r="L69" s="22"/>
    </row>
    <row r="70" spans="1:12" x14ac:dyDescent="0.3">
      <c r="A70" s="9">
        <v>0.5</v>
      </c>
      <c r="B70" s="1">
        <v>0.92500000000000004</v>
      </c>
      <c r="C70" s="1">
        <f t="shared" si="38"/>
        <v>-1.1548000000000003</v>
      </c>
      <c r="D70" s="1">
        <f t="shared" ref="D70:D72" si="40">(B70-B69)/(A70-A69)</f>
        <v>-0.71399999999999952</v>
      </c>
      <c r="E70" s="1">
        <f>(B71-B69)/(A71-A69)</f>
        <v>-0.9343999999999999</v>
      </c>
      <c r="F70" s="22">
        <v>-0.91249999999999998</v>
      </c>
      <c r="H70" s="9">
        <v>0.7</v>
      </c>
      <c r="I70" s="1">
        <v>-0.35670000000000002</v>
      </c>
      <c r="J70" s="1">
        <f t="shared" si="39"/>
        <v>-4.6210000000000015E-2</v>
      </c>
      <c r="K70" s="1">
        <f>(H72-H70)*(I70+4*I71+I72)/6</f>
        <v>-4.5532666666666687E-2</v>
      </c>
      <c r="L70" s="22"/>
    </row>
    <row r="71" spans="1:12" x14ac:dyDescent="0.3">
      <c r="A71" s="9">
        <v>0.75</v>
      </c>
      <c r="B71" s="1">
        <v>0.63629999999999998</v>
      </c>
      <c r="C71" s="1">
        <f t="shared" si="38"/>
        <v>-1.7451999999999999</v>
      </c>
      <c r="D71" s="1">
        <f t="shared" si="40"/>
        <v>-1.1548000000000003</v>
      </c>
      <c r="E71" s="1">
        <f t="shared" ref="E71" si="41">(B72-B70)/(A72-A70)</f>
        <v>-1.4500000000000002</v>
      </c>
      <c r="F71" s="22"/>
      <c r="H71" s="9">
        <v>0.9</v>
      </c>
      <c r="I71" s="1">
        <v>-0.10539999999999999</v>
      </c>
      <c r="J71" s="1">
        <f t="shared" si="39"/>
        <v>-1.008999999999999E-3</v>
      </c>
      <c r="K71" s="1"/>
      <c r="L71" s="22">
        <f>(H74-H71)*(I71+3*I72+3*I73+I74)/8</f>
        <v>0.10299225000000001</v>
      </c>
    </row>
    <row r="72" spans="1:12" x14ac:dyDescent="0.3">
      <c r="A72" s="9">
        <v>1</v>
      </c>
      <c r="B72" s="1">
        <v>0.2</v>
      </c>
      <c r="C72" s="1"/>
      <c r="D72" s="1">
        <f t="shared" si="40"/>
        <v>-1.7451999999999999</v>
      </c>
      <c r="E72" s="1"/>
      <c r="F72" s="22"/>
      <c r="H72" s="9">
        <v>1.1000000000000001</v>
      </c>
      <c r="I72" s="1">
        <v>9.5310000000000006E-2</v>
      </c>
      <c r="J72" s="1">
        <f t="shared" si="39"/>
        <v>3.5770999999999997E-2</v>
      </c>
      <c r="K72" s="1">
        <f>(H74-H72)*(I72+4*I73+I74)/6</f>
        <v>0.10336066666666666</v>
      </c>
      <c r="L72" s="22"/>
    </row>
    <row r="73" spans="1:12" ht="15" thickBot="1" x14ac:dyDescent="0.35">
      <c r="A73" s="23"/>
      <c r="B73" s="24" t="s">
        <v>62</v>
      </c>
      <c r="C73" s="24">
        <f>ABS(C70-F70)/C70*100</f>
        <v>-20.981988223068949</v>
      </c>
      <c r="D73" s="24">
        <f>ABS(D70-F70)/D70*100</f>
        <v>-27.801120448179358</v>
      </c>
      <c r="E73" s="24">
        <f>ABS(E70-F70)/E70*100</f>
        <v>-2.3437499999999916</v>
      </c>
      <c r="F73" s="25"/>
      <c r="H73" s="9">
        <v>1.3</v>
      </c>
      <c r="I73" s="1">
        <v>0.26240000000000002</v>
      </c>
      <c r="J73" s="1">
        <f t="shared" si="39"/>
        <v>6.6789999999999988E-2</v>
      </c>
      <c r="K73" s="1"/>
      <c r="L73" s="22"/>
    </row>
    <row r="74" spans="1:12" x14ac:dyDescent="0.3">
      <c r="H74" s="9">
        <v>1.5</v>
      </c>
      <c r="I74" s="1">
        <v>0.40550000000000003</v>
      </c>
      <c r="J74" s="1"/>
      <c r="K74" s="1"/>
      <c r="L74" s="22"/>
    </row>
    <row r="75" spans="1:12" x14ac:dyDescent="0.3">
      <c r="H75" s="9" t="s">
        <v>63</v>
      </c>
      <c r="I75" s="1" t="s">
        <v>68</v>
      </c>
      <c r="J75" s="1">
        <f xml:space="preserve"> SUM(J68:J74)</f>
        <v>-0.23934800000000003</v>
      </c>
      <c r="K75" s="1">
        <f t="shared" ref="K75:L75" si="42" xml:space="preserve"> SUM(K68:K74)</f>
        <v>-0.23104533333333332</v>
      </c>
      <c r="L75" s="22">
        <f t="shared" si="42"/>
        <v>-0.23141775000000003</v>
      </c>
    </row>
    <row r="76" spans="1:12" ht="15" thickBot="1" x14ac:dyDescent="0.35">
      <c r="H76" s="23">
        <v>-0.23061000000000001</v>
      </c>
      <c r="I76" s="24" t="s">
        <v>69</v>
      </c>
      <c r="J76" s="24">
        <f>ABS(J75-$H$76)/$H$76*100</f>
        <v>-3.7890811326482039</v>
      </c>
      <c r="K76" s="24">
        <f t="shared" ref="K76:L76" si="43">ABS(K75-$H$76)/$H$76*100</f>
        <v>-0.18877469898673749</v>
      </c>
      <c r="L76" s="25">
        <f t="shared" si="43"/>
        <v>-0.35026668401197852</v>
      </c>
    </row>
    <row r="78" spans="1:12" ht="15" thickBot="1" x14ac:dyDescent="0.35"/>
    <row r="79" spans="1:12" x14ac:dyDescent="0.3">
      <c r="A79" s="19" t="s">
        <v>70</v>
      </c>
      <c r="B79" s="20" t="s">
        <v>73</v>
      </c>
      <c r="C79" s="21">
        <v>1</v>
      </c>
      <c r="E79" s="19" t="s">
        <v>74</v>
      </c>
      <c r="F79" s="20"/>
      <c r="G79" s="20" t="s">
        <v>81</v>
      </c>
      <c r="H79" s="20">
        <v>1</v>
      </c>
      <c r="I79" s="20"/>
      <c r="J79" s="20"/>
      <c r="K79" s="21"/>
    </row>
    <row r="80" spans="1:12" x14ac:dyDescent="0.3">
      <c r="A80" s="9" t="s">
        <v>71</v>
      </c>
      <c r="B80" s="1" t="s">
        <v>22</v>
      </c>
      <c r="C80" s="22" t="s">
        <v>72</v>
      </c>
      <c r="E80" s="9" t="s">
        <v>71</v>
      </c>
      <c r="F80" s="1" t="s">
        <v>22</v>
      </c>
      <c r="G80" s="1" t="s">
        <v>75</v>
      </c>
      <c r="H80" s="1" t="s">
        <v>76</v>
      </c>
      <c r="I80" s="1" t="s">
        <v>77</v>
      </c>
      <c r="J80" s="1" t="s">
        <v>78</v>
      </c>
      <c r="K80" s="22" t="s">
        <v>79</v>
      </c>
    </row>
    <row r="81" spans="1:11" x14ac:dyDescent="0.3">
      <c r="A81" s="9">
        <v>0</v>
      </c>
      <c r="B81" s="1">
        <v>1</v>
      </c>
      <c r="C81" s="22">
        <f>B81*SIN(A81)^3</f>
        <v>0</v>
      </c>
      <c r="E81" s="9">
        <v>0</v>
      </c>
      <c r="F81" s="1">
        <v>1</v>
      </c>
      <c r="G81" s="1">
        <f>($F81)*SIN($E81)^3</f>
        <v>0</v>
      </c>
      <c r="H81" s="1">
        <f>($F81+0.5*G81*$H$79)*SIN($E81+0.5*$H$79)^3</f>
        <v>0.11019540730213864</v>
      </c>
      <c r="I81" s="1">
        <f>($F81+0.5*H81*$H$79)*SIN($E81+0.5*$H$79)^3</f>
        <v>0.11626692119738076</v>
      </c>
      <c r="J81" s="1">
        <f>($F81+I81*$H$79)*SIN($E81+$H$79)^3</f>
        <v>0.66509776988724456</v>
      </c>
      <c r="K81" s="22">
        <f>1/6*(G81+2*H81+2*I81+J81)*$H$79</f>
        <v>0.18633707114771392</v>
      </c>
    </row>
    <row r="82" spans="1:11" x14ac:dyDescent="0.3">
      <c r="A82" s="9">
        <v>1</v>
      </c>
      <c r="B82" s="1">
        <f>B81+C81*$C$79</f>
        <v>1</v>
      </c>
      <c r="C82" s="22">
        <f t="shared" ref="C82:C84" si="44">B82*SIN(A82)^3</f>
        <v>0.5958232365909556</v>
      </c>
      <c r="E82" s="9">
        <v>1</v>
      </c>
      <c r="F82" s="1">
        <f>F81+K81</f>
        <v>1.1863370711477139</v>
      </c>
      <c r="G82" s="1">
        <f t="shared" ref="G82:G84" si="45">($F82)*SIN($E82)^3</f>
        <v>0.70684719341906566</v>
      </c>
      <c r="H82" s="1">
        <f t="shared" ref="H82:I82" si="46">($F82+0.5*G82*$H$79)*SIN($E82+0.5*$H$79)^3</f>
        <v>1.5282182667749313</v>
      </c>
      <c r="I82" s="1">
        <f t="shared" si="46"/>
        <v>1.9358252099532398</v>
      </c>
      <c r="J82" s="1">
        <f t="shared" ref="J82:J84" si="47">($F82+I82*$H$79)*SIN($E82+$H$79)^3</f>
        <v>2.3473257285609028</v>
      </c>
      <c r="K82" s="22">
        <f t="shared" ref="K82:K84" si="48">1/6*(G82+2*H82+2*I82+J82)*$H$79</f>
        <v>1.6637099792393848</v>
      </c>
    </row>
    <row r="83" spans="1:11" x14ac:dyDescent="0.3">
      <c r="A83" s="9">
        <v>2</v>
      </c>
      <c r="B83" s="1">
        <f t="shared" ref="B83:B84" si="49">B82+C82*$C$79</f>
        <v>1.5958232365909555</v>
      </c>
      <c r="C83" s="22">
        <f t="shared" si="44"/>
        <v>1.1997829081979614</v>
      </c>
      <c r="E83" s="9">
        <v>2</v>
      </c>
      <c r="F83" s="1">
        <f>F82+K82</f>
        <v>2.8500470503870989</v>
      </c>
      <c r="G83" s="1">
        <f t="shared" si="45"/>
        <v>2.1427421660554078</v>
      </c>
      <c r="H83" s="1">
        <f t="shared" ref="H83:I83" si="50">($F83+0.5*G83*$H$79)*SIN($E83+0.5*$H$79)^3</f>
        <v>0.84057210915788816</v>
      </c>
      <c r="I83" s="1">
        <f t="shared" si="50"/>
        <v>0.70100935482143112</v>
      </c>
      <c r="J83" s="1">
        <f t="shared" si="47"/>
        <v>9.9798347124089807E-3</v>
      </c>
      <c r="K83" s="22">
        <f t="shared" si="48"/>
        <v>0.87264748812107584</v>
      </c>
    </row>
    <row r="84" spans="1:11" x14ac:dyDescent="0.3">
      <c r="A84" s="9">
        <v>3</v>
      </c>
      <c r="B84" s="1">
        <f t="shared" si="49"/>
        <v>2.7956061447889171</v>
      </c>
      <c r="C84" s="22">
        <f t="shared" si="44"/>
        <v>7.8567288328809069E-3</v>
      </c>
      <c r="E84" s="9">
        <v>3</v>
      </c>
      <c r="F84" s="1">
        <f>F83+K83</f>
        <v>3.7226945385081747</v>
      </c>
      <c r="G84" s="1">
        <f t="shared" si="45"/>
        <v>1.0462203902085731E-2</v>
      </c>
      <c r="H84" s="1">
        <f t="shared" ref="H84:I84" si="51">($F84+0.5*G84*$H$79)*SIN($E84+0.5*$H$79)^3</f>
        <v>-0.16091024670997162</v>
      </c>
      <c r="I84" s="1">
        <f t="shared" si="51"/>
        <v>-0.15721173097135271</v>
      </c>
      <c r="J84" s="1">
        <f t="shared" si="47"/>
        <v>-1.5454893357609343</v>
      </c>
      <c r="K84" s="22">
        <f t="shared" si="48"/>
        <v>-0.36187851453691616</v>
      </c>
    </row>
    <row r="85" spans="1:11" ht="15" thickBot="1" x14ac:dyDescent="0.35">
      <c r="A85" s="23" t="s">
        <v>80</v>
      </c>
      <c r="B85" s="26">
        <f>ABS(B84-B91)/B91</f>
        <v>0.26301266144846541</v>
      </c>
      <c r="C85" s="25"/>
      <c r="E85" s="23" t="s">
        <v>80</v>
      </c>
      <c r="F85" s="26">
        <f>ABS(F84-B91)/B91</f>
        <v>1.8610420037323439E-2</v>
      </c>
      <c r="G85" s="24"/>
      <c r="H85" s="24"/>
      <c r="I85" s="24"/>
      <c r="J85" s="24"/>
      <c r="K85" s="25"/>
    </row>
    <row r="86" spans="1:11" ht="15" thickBot="1" x14ac:dyDescent="0.35">
      <c r="A86" s="16" t="s">
        <v>63</v>
      </c>
      <c r="B86" s="5"/>
    </row>
    <row r="87" spans="1:11" x14ac:dyDescent="0.3">
      <c r="A87" s="6" t="s">
        <v>71</v>
      </c>
      <c r="B87" s="8" t="s">
        <v>22</v>
      </c>
      <c r="E87" s="19" t="s">
        <v>74</v>
      </c>
      <c r="F87" s="20"/>
      <c r="G87" s="20" t="s">
        <v>81</v>
      </c>
      <c r="H87" s="20">
        <v>0.5</v>
      </c>
      <c r="I87" s="20"/>
      <c r="J87" s="20"/>
      <c r="K87" s="21"/>
    </row>
    <row r="88" spans="1:11" x14ac:dyDescent="0.3">
      <c r="A88" s="6">
        <v>0</v>
      </c>
      <c r="B88" s="8">
        <v>1</v>
      </c>
      <c r="E88" s="9" t="s">
        <v>71</v>
      </c>
      <c r="F88" s="1" t="s">
        <v>22</v>
      </c>
      <c r="G88" s="1" t="s">
        <v>75</v>
      </c>
      <c r="H88" s="1" t="s">
        <v>76</v>
      </c>
      <c r="I88" s="1" t="s">
        <v>77</v>
      </c>
      <c r="J88" s="1" t="s">
        <v>78</v>
      </c>
      <c r="K88" s="22" t="s">
        <v>79</v>
      </c>
    </row>
    <row r="89" spans="1:11" x14ac:dyDescent="0.3">
      <c r="A89" s="6">
        <v>1</v>
      </c>
      <c r="B89" s="8">
        <f>$B$88*EXP(1/3*(COS(A89))^3-COS(A89)+2/3)</f>
        <v>1.1959496578559528</v>
      </c>
      <c r="E89" s="9">
        <v>0</v>
      </c>
      <c r="F89" s="1">
        <v>1</v>
      </c>
      <c r="G89" s="1">
        <f>($F89)*SIN($E89)^3</f>
        <v>0</v>
      </c>
      <c r="H89" s="1">
        <f>($F89+0.5*G89*$H$87)*SIN($E89+0.5*$H$87)^3</f>
        <v>1.5143279435058658E-2</v>
      </c>
      <c r="I89" s="1">
        <f>($F89+0.5*H89*$H$87)*SIN($E89+0.5*$H$87)^3</f>
        <v>1.5200609163070724E-2</v>
      </c>
      <c r="J89" s="1">
        <f>($F89+I89*$H$87)*SIN($E89+$H$87)^3</f>
        <v>0.11103292596112124</v>
      </c>
      <c r="K89" s="22">
        <f>1/6*(G89+2*H89+2*I89+J89)*$H$79</f>
        <v>2.8620117192896664E-2</v>
      </c>
    </row>
    <row r="90" spans="1:11" x14ac:dyDescent="0.3">
      <c r="A90" s="6">
        <v>2</v>
      </c>
      <c r="B90" s="8">
        <f t="shared" ref="B90:B91" si="52">$B$88*EXP(1/3*(COS(A90))^3-COS(A90)+2/3)</f>
        <v>2.8828834310624885</v>
      </c>
      <c r="E90" s="9">
        <v>0.5</v>
      </c>
      <c r="F90" s="1">
        <f>F89+K89</f>
        <v>1.0286201171928966</v>
      </c>
      <c r="G90" s="1">
        <f t="shared" ref="G90:G95" si="53">($F90)*SIN($E90)^3</f>
        <v>0.11334921277324482</v>
      </c>
      <c r="H90" s="1">
        <f t="shared" ref="H90:I90" si="54">($F90+0.5*G90*$H$87)*SIN($E90+0.5*$H$87)^3</f>
        <v>0.33474979930856058</v>
      </c>
      <c r="I90" s="1">
        <f t="shared" si="54"/>
        <v>0.35227978691260559</v>
      </c>
      <c r="J90" s="1">
        <f t="shared" ref="J90:J95" si="55">($F90+I90*$H$87)*SIN($E90+$H$87)^3</f>
        <v>0.71782400886036013</v>
      </c>
      <c r="K90" s="22">
        <f t="shared" ref="K90:K92" si="56">1/6*(G90+2*H90+2*I90+J90)*$H$79</f>
        <v>0.36753873234598955</v>
      </c>
    </row>
    <row r="91" spans="1:11" ht="15" thickBot="1" x14ac:dyDescent="0.35">
      <c r="A91" s="10">
        <v>3</v>
      </c>
      <c r="B91" s="12">
        <f t="shared" si="52"/>
        <v>3.7932892446746309</v>
      </c>
      <c r="E91" s="9">
        <v>1</v>
      </c>
      <c r="F91" s="1">
        <f>F90+K90</f>
        <v>1.3961588495388861</v>
      </c>
      <c r="G91" s="1">
        <f t="shared" si="53"/>
        <v>0.83186388452736415</v>
      </c>
      <c r="H91" s="1">
        <f t="shared" ref="H91:I91" si="57">($F91+0.5*G91*$H$87)*SIN($E91+0.5*$H$87)^3</f>
        <v>1.3709312612397651</v>
      </c>
      <c r="I91" s="1">
        <f t="shared" si="57"/>
        <v>1.4861068867781408</v>
      </c>
      <c r="J91" s="1">
        <f t="shared" si="55"/>
        <v>2.1231762642121725</v>
      </c>
      <c r="K91" s="22">
        <f t="shared" si="56"/>
        <v>1.4448527407958913</v>
      </c>
    </row>
    <row r="92" spans="1:11" ht="15" thickBot="1" x14ac:dyDescent="0.35">
      <c r="E92" s="9">
        <v>1.5</v>
      </c>
      <c r="F92" s="1">
        <f>F91+K91</f>
        <v>2.8410115903347775</v>
      </c>
      <c r="G92" s="1">
        <f t="shared" si="53"/>
        <v>2.819714712229179</v>
      </c>
      <c r="H92" s="1">
        <f t="shared" ref="H92:I92" si="58">($F92+0.5*G92*$H$87)*SIN($E92+0.5*$H$87)^3</f>
        <v>3.3782991464522212</v>
      </c>
      <c r="I92" s="1">
        <f t="shared" si="58"/>
        <v>3.5113432175959312</v>
      </c>
      <c r="J92" s="1">
        <f t="shared" si="55"/>
        <v>3.4559102852152614</v>
      </c>
      <c r="K92" s="22">
        <f t="shared" si="56"/>
        <v>3.3424849542567903</v>
      </c>
    </row>
    <row r="93" spans="1:11" x14ac:dyDescent="0.3">
      <c r="A93" s="19" t="s">
        <v>83</v>
      </c>
      <c r="B93" s="20" t="s">
        <v>85</v>
      </c>
      <c r="C93" s="21">
        <v>0.5</v>
      </c>
      <c r="E93" s="9">
        <v>2</v>
      </c>
      <c r="F93" s="1">
        <f t="shared" ref="F93:F95" si="59">F92+K92</f>
        <v>6.1834965445915682</v>
      </c>
      <c r="G93" s="1">
        <f t="shared" si="53"/>
        <v>4.648919314491553</v>
      </c>
      <c r="H93" s="1">
        <f t="shared" ref="H93:I93" si="60">($F93+0.5*G93*$H$87)*SIN($E93+0.5*$H$87)^3</f>
        <v>3.4601594465333765</v>
      </c>
      <c r="I93" s="1">
        <f t="shared" si="60"/>
        <v>3.3201699316171238</v>
      </c>
      <c r="J93" s="1">
        <f t="shared" si="55"/>
        <v>1.6813039643409637</v>
      </c>
      <c r="K93" s="22">
        <f t="shared" ref="K93:K95" si="61">1/6*(G93+2*H93+2*I93+J93)*$H$79</f>
        <v>3.3151470058555859</v>
      </c>
    </row>
    <row r="94" spans="1:11" x14ac:dyDescent="0.3">
      <c r="A94" s="9" t="s">
        <v>71</v>
      </c>
      <c r="B94" s="1" t="s">
        <v>22</v>
      </c>
      <c r="C94" s="22" t="s">
        <v>72</v>
      </c>
      <c r="E94" s="9">
        <v>2.5</v>
      </c>
      <c r="F94" s="1">
        <f t="shared" si="59"/>
        <v>9.498643550447154</v>
      </c>
      <c r="G94" s="1">
        <f t="shared" si="53"/>
        <v>2.036073321358757</v>
      </c>
      <c r="H94" s="1">
        <f t="shared" ref="H94:I94" si="62">($F94+0.5*G94*$H$87)*SIN($E94+0.5*$H$87)^3</f>
        <v>0.55637287469263352</v>
      </c>
      <c r="I94" s="1">
        <f t="shared" si="62"/>
        <v>0.53580700223904509</v>
      </c>
      <c r="J94" s="1">
        <f t="shared" si="55"/>
        <v>2.7447754742120755E-2</v>
      </c>
      <c r="K94" s="22">
        <f t="shared" si="61"/>
        <v>0.7079801383273725</v>
      </c>
    </row>
    <row r="95" spans="1:11" x14ac:dyDescent="0.3">
      <c r="A95" s="9">
        <v>0</v>
      </c>
      <c r="B95" s="1">
        <v>1</v>
      </c>
      <c r="C95" s="22">
        <f>B95*SIN(A95)^3</f>
        <v>0</v>
      </c>
      <c r="E95" s="9">
        <v>3</v>
      </c>
      <c r="F95" s="1">
        <f t="shared" si="59"/>
        <v>10.206623688774526</v>
      </c>
      <c r="G95" s="1">
        <f t="shared" si="53"/>
        <v>2.8684539405322743E-2</v>
      </c>
      <c r="H95" s="1">
        <f t="shared" ref="H95:I95" si="63">($F95+0.5*G95*$H$87)*SIN($E95+0.5*$H$87)^3</f>
        <v>-1.2936307286771507E-2</v>
      </c>
      <c r="I95" s="1">
        <f t="shared" si="63"/>
        <v>-1.2923128539997117E-2</v>
      </c>
      <c r="J95" s="1">
        <f t="shared" si="55"/>
        <v>-0.44027450175576721</v>
      </c>
      <c r="K95" s="22">
        <f t="shared" si="61"/>
        <v>-7.7218139000663613E-2</v>
      </c>
    </row>
    <row r="96" spans="1:11" ht="15" thickBot="1" x14ac:dyDescent="0.35">
      <c r="A96" s="9">
        <v>0.5</v>
      </c>
      <c r="B96" s="1">
        <f t="shared" ref="B96:B101" si="64">B95+C95*$C$93</f>
        <v>1</v>
      </c>
      <c r="C96" s="22">
        <f>B96*SIN(A96)^3</f>
        <v>0.11019540730213864</v>
      </c>
      <c r="E96" s="23" t="s">
        <v>80</v>
      </c>
      <c r="F96" s="26">
        <f>ABS(F95-B91)/B91</f>
        <v>1.6907053563351451</v>
      </c>
      <c r="G96" s="11"/>
      <c r="H96" s="11"/>
      <c r="I96" s="11"/>
      <c r="J96" s="11"/>
      <c r="K96" s="12"/>
    </row>
    <row r="97" spans="1:7" x14ac:dyDescent="0.3">
      <c r="A97" s="9">
        <v>1</v>
      </c>
      <c r="B97" s="1">
        <f t="shared" si="64"/>
        <v>1.0550977036510694</v>
      </c>
      <c r="C97" s="22">
        <f t="shared" ref="C97:C98" si="65">B97*SIN(A97)^3</f>
        <v>0.62865172870906505</v>
      </c>
    </row>
    <row r="98" spans="1:7" x14ac:dyDescent="0.3">
      <c r="A98" s="9">
        <v>1.5</v>
      </c>
      <c r="B98" s="1">
        <f t="shared" si="64"/>
        <v>1.3694235680056019</v>
      </c>
      <c r="C98" s="22">
        <f t="shared" si="65"/>
        <v>1.3591580531087364</v>
      </c>
    </row>
    <row r="99" spans="1:7" ht="15" thickBot="1" x14ac:dyDescent="0.35">
      <c r="A99" s="9">
        <v>2</v>
      </c>
      <c r="B99" s="1">
        <f t="shared" si="64"/>
        <v>2.0490025945599699</v>
      </c>
      <c r="C99" s="22">
        <f t="shared" ref="C99:C101" si="66">B99*SIN(A99)^3</f>
        <v>1.5404953602868612</v>
      </c>
    </row>
    <row r="100" spans="1:7" x14ac:dyDescent="0.3">
      <c r="A100" s="9">
        <v>2.5</v>
      </c>
      <c r="B100" s="1">
        <f t="shared" si="64"/>
        <v>2.8192502747034007</v>
      </c>
      <c r="C100" s="22">
        <f t="shared" si="66"/>
        <v>0.60431789445206818</v>
      </c>
      <c r="E100" s="16" t="s">
        <v>69</v>
      </c>
      <c r="F100" s="4" t="s">
        <v>84</v>
      </c>
      <c r="G100" s="5" t="b">
        <v>1</v>
      </c>
    </row>
    <row r="101" spans="1:7" x14ac:dyDescent="0.3">
      <c r="A101" s="9">
        <v>3</v>
      </c>
      <c r="B101" s="1">
        <f t="shared" si="64"/>
        <v>3.1214092219294347</v>
      </c>
      <c r="C101" s="22">
        <f t="shared" si="66"/>
        <v>8.7723608273171261E-3</v>
      </c>
      <c r="E101" s="6" t="s">
        <v>82</v>
      </c>
      <c r="F101" s="27">
        <f>ABS(F95-F84)/F95</f>
        <v>0.63526679810851872</v>
      </c>
      <c r="G101" s="28">
        <f>ABS(B91-F95)/B91</f>
        <v>1.6907053563351451</v>
      </c>
    </row>
    <row r="102" spans="1:7" ht="15" thickBot="1" x14ac:dyDescent="0.35">
      <c r="A102" s="23" t="s">
        <v>80</v>
      </c>
      <c r="B102" s="26">
        <f>ABS(B98-B91)/B91</f>
        <v>0.63898783359899991</v>
      </c>
      <c r="C102" s="12"/>
      <c r="E102" s="10" t="s">
        <v>83</v>
      </c>
      <c r="F102" s="29">
        <f>ABS(B101-B84)/B101</f>
        <v>0.10437691887740665</v>
      </c>
      <c r="G102" s="30">
        <f>ABS(B91-B101)/B91</f>
        <v>0.17712333001983524</v>
      </c>
    </row>
    <row r="106" spans="1:7" ht="15" thickBot="1" x14ac:dyDescent="0.35"/>
    <row r="107" spans="1:7" x14ac:dyDescent="0.3">
      <c r="A107" s="19" t="s">
        <v>83</v>
      </c>
      <c r="B107" s="20" t="s">
        <v>85</v>
      </c>
      <c r="C107" s="20">
        <v>1</v>
      </c>
      <c r="D107" s="20"/>
      <c r="E107" s="21"/>
    </row>
    <row r="108" spans="1:7" x14ac:dyDescent="0.3">
      <c r="A108" s="9" t="s">
        <v>71</v>
      </c>
      <c r="B108" s="1" t="s">
        <v>23</v>
      </c>
      <c r="C108" s="1" t="s">
        <v>22</v>
      </c>
      <c r="D108" s="1" t="s">
        <v>72</v>
      </c>
      <c r="E108" s="31" t="s">
        <v>86</v>
      </c>
    </row>
    <row r="109" spans="1:7" x14ac:dyDescent="0.3">
      <c r="A109" s="9">
        <v>0</v>
      </c>
      <c r="B109" s="1">
        <v>1</v>
      </c>
      <c r="C109" s="1">
        <v>2</v>
      </c>
      <c r="D109" s="22">
        <f>4-0.1*B109-0.2*C109</f>
        <v>3.5</v>
      </c>
      <c r="E109" s="1">
        <f>-0.5*B109+C109*A109</f>
        <v>-0.5</v>
      </c>
    </row>
    <row r="110" spans="1:7" ht="15" thickBot="1" x14ac:dyDescent="0.35">
      <c r="A110" s="23">
        <v>1</v>
      </c>
      <c r="B110" s="24">
        <f>B109+E109*$C$107</f>
        <v>0.5</v>
      </c>
      <c r="C110" s="24">
        <f>C109+D109*$C$107</f>
        <v>5.5</v>
      </c>
      <c r="D110" s="22">
        <f>4-0.1*B110-0.2*C110</f>
        <v>2.85</v>
      </c>
      <c r="E110" s="1">
        <f>-0.5*B110+C110*A110</f>
        <v>5.25</v>
      </c>
    </row>
    <row r="111" spans="1:7" ht="15" thickBot="1" x14ac:dyDescent="0.35">
      <c r="A111" s="23">
        <v>2</v>
      </c>
      <c r="B111" s="24">
        <f>B110+E110*$C$107</f>
        <v>5.75</v>
      </c>
      <c r="C111" s="24">
        <f>C110+D110*$C$107</f>
        <v>8.35</v>
      </c>
      <c r="D111" s="22">
        <f>4-0.1*B111-0.2*C111</f>
        <v>1.7549999999999999</v>
      </c>
      <c r="E111" s="1">
        <f>-0.5*B111+C111*A111</f>
        <v>13.824999999999999</v>
      </c>
    </row>
    <row r="114" spans="1:13" ht="15" thickBot="1" x14ac:dyDescent="0.35"/>
    <row r="115" spans="1:13" x14ac:dyDescent="0.3">
      <c r="A115" s="19" t="s">
        <v>87</v>
      </c>
      <c r="B115" s="20"/>
      <c r="C115" s="20" t="s">
        <v>92</v>
      </c>
      <c r="D115" s="20">
        <v>1</v>
      </c>
      <c r="E115" s="20"/>
      <c r="F115" s="20"/>
      <c r="G115" s="20"/>
      <c r="H115" s="20"/>
      <c r="I115" s="20"/>
      <c r="J115" s="20"/>
      <c r="K115" s="21"/>
    </row>
    <row r="116" spans="1:13" x14ac:dyDescent="0.3">
      <c r="A116" s="9" t="s">
        <v>71</v>
      </c>
      <c r="B116" s="1" t="s">
        <v>22</v>
      </c>
      <c r="C116" s="1" t="s">
        <v>100</v>
      </c>
      <c r="D116" s="1" t="s">
        <v>75</v>
      </c>
      <c r="E116" s="1" t="s">
        <v>76</v>
      </c>
      <c r="F116" s="1" t="s">
        <v>77</v>
      </c>
      <c r="G116" s="1" t="s">
        <v>78</v>
      </c>
      <c r="H116" s="1" t="s">
        <v>89</v>
      </c>
      <c r="I116" s="1" t="s">
        <v>88</v>
      </c>
      <c r="J116" s="1" t="s">
        <v>90</v>
      </c>
      <c r="K116" s="22" t="s">
        <v>91</v>
      </c>
    </row>
    <row r="117" spans="1:13" x14ac:dyDescent="0.3">
      <c r="A117" s="9">
        <v>0</v>
      </c>
      <c r="B117" s="1">
        <v>1</v>
      </c>
      <c r="C117" s="1">
        <f>B117*SIN(A117)^3</f>
        <v>0</v>
      </c>
      <c r="D117" s="1">
        <v>0</v>
      </c>
      <c r="E117" s="1">
        <v>7.8410000000000007E-3</v>
      </c>
      <c r="F117" s="1">
        <v>2.5850000000000001E-2</v>
      </c>
      <c r="G117" s="1">
        <v>0.18432999999999999</v>
      </c>
      <c r="H117" s="1">
        <v>0.70994000000000002</v>
      </c>
      <c r="I117" s="1">
        <v>0.50707000000000002</v>
      </c>
      <c r="J117" s="1">
        <f>$B$117+(37/378*$D$117+250/621*$F$117+125/594*$G$117+512/1771*$I$117)*$D$115</f>
        <v>1.1957916390614216</v>
      </c>
      <c r="K117" s="22">
        <f>$B$117+(2825/27648*$D$117+18575/48384*$F$117+13525/55296*$G$117+277/14336*H117+1/4*$I$117)*$D$115</f>
        <v>1.1954947497364832</v>
      </c>
    </row>
    <row r="118" spans="1:13" x14ac:dyDescent="0.3">
      <c r="A118" s="9">
        <v>1</v>
      </c>
      <c r="B118" s="1">
        <f>$B$117+(2825/27648*$D$117+18575/48384*$F$117+13525/55296*$G$117+277/14336*H117+1/4*$I$117)*$D$115</f>
        <v>1.1954947497364832</v>
      </c>
      <c r="C118" s="1">
        <f>B118*SIN(A118)^3</f>
        <v>0.71230355111548582</v>
      </c>
      <c r="D118" s="1">
        <f>B118*SIN(A118)^3</f>
        <v>0.71230355111548582</v>
      </c>
      <c r="E118" s="1">
        <f>(B118+1/5*D117*D115)*SIN(A118+1/5*D115)^3</f>
        <v>0.96794359201977143</v>
      </c>
      <c r="F118" s="1"/>
      <c r="G118" s="1"/>
      <c r="H118" s="1"/>
      <c r="I118" s="1"/>
      <c r="J118" s="1"/>
      <c r="K118" s="22"/>
    </row>
    <row r="119" spans="1:13" x14ac:dyDescent="0.3">
      <c r="A119" s="9"/>
      <c r="B119" s="1"/>
      <c r="C119" s="1"/>
      <c r="D119" s="1"/>
      <c r="E119" s="1"/>
      <c r="F119" s="1"/>
      <c r="G119" s="1"/>
      <c r="H119" s="1"/>
      <c r="I119" s="1"/>
      <c r="J119" s="1"/>
      <c r="K119" s="22"/>
    </row>
    <row r="120" spans="1:13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22"/>
      <c r="L120" s="9" t="s">
        <v>94</v>
      </c>
      <c r="M120" s="1">
        <f>B118+C118*D115</f>
        <v>1.907798300851969</v>
      </c>
    </row>
    <row r="121" spans="1:13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22"/>
      <c r="L121" s="9" t="s">
        <v>93</v>
      </c>
      <c r="M121" s="1">
        <f>J117-B118</f>
        <v>2.968893249384319E-4</v>
      </c>
    </row>
    <row r="122" spans="1:13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22"/>
      <c r="L122" s="9" t="s">
        <v>95</v>
      </c>
      <c r="M122" s="32">
        <v>1.0000000000000001E-5</v>
      </c>
    </row>
    <row r="123" spans="1:13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22"/>
      <c r="L123" s="9" t="s">
        <v>96</v>
      </c>
      <c r="M123" s="32">
        <f>M122*M120</f>
        <v>1.9077983008519691E-5</v>
      </c>
    </row>
    <row r="124" spans="1:13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22"/>
      <c r="L124" s="9" t="s">
        <v>97</v>
      </c>
      <c r="M124" s="1">
        <v>0.25</v>
      </c>
    </row>
    <row r="125" spans="1:13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22"/>
      <c r="L125" s="9" t="s">
        <v>99</v>
      </c>
      <c r="M125" s="1">
        <v>0.8</v>
      </c>
    </row>
    <row r="126" spans="1:13" ht="15" thickBot="1" x14ac:dyDescent="0.35">
      <c r="A126" s="1"/>
      <c r="B126" s="1"/>
      <c r="C126" s="24"/>
      <c r="D126" s="24"/>
      <c r="E126" s="24"/>
      <c r="F126" s="24"/>
      <c r="G126" s="24"/>
      <c r="H126" s="24"/>
      <c r="I126" s="24"/>
      <c r="J126" s="24"/>
      <c r="K126" s="25"/>
      <c r="L126" s="23" t="s">
        <v>98</v>
      </c>
      <c r="M126" s="33">
        <f>M125*D115*ABS(M123/M121)^M124</f>
        <v>0.40278608242653652</v>
      </c>
    </row>
    <row r="128" spans="1:13" ht="15" thickBot="1" x14ac:dyDescent="0.35"/>
    <row r="129" spans="1:18" x14ac:dyDescent="0.3">
      <c r="A129" s="19" t="s">
        <v>87</v>
      </c>
      <c r="B129" s="20"/>
      <c r="C129" s="20" t="s">
        <v>92</v>
      </c>
      <c r="D129" s="20">
        <v>0.5</v>
      </c>
      <c r="E129" s="20"/>
      <c r="F129" s="20"/>
      <c r="G129" s="20"/>
      <c r="H129" s="20"/>
      <c r="I129" s="20"/>
      <c r="J129" s="20"/>
      <c r="K129" s="21"/>
    </row>
    <row r="130" spans="1:18" ht="15" thickBot="1" x14ac:dyDescent="0.35">
      <c r="A130" s="9" t="s">
        <v>71</v>
      </c>
      <c r="B130" s="1" t="s">
        <v>22</v>
      </c>
      <c r="C130" s="1" t="s">
        <v>100</v>
      </c>
      <c r="D130" s="1" t="s">
        <v>75</v>
      </c>
      <c r="E130" s="1" t="s">
        <v>76</v>
      </c>
      <c r="F130" s="1" t="s">
        <v>77</v>
      </c>
      <c r="G130" s="1" t="s">
        <v>78</v>
      </c>
      <c r="H130" s="1" t="s">
        <v>89</v>
      </c>
      <c r="I130" s="1" t="s">
        <v>88</v>
      </c>
      <c r="J130" s="1" t="s">
        <v>90</v>
      </c>
      <c r="K130" s="22" t="s">
        <v>91</v>
      </c>
      <c r="L130" s="9" t="s">
        <v>94</v>
      </c>
      <c r="M130" s="9" t="s">
        <v>93</v>
      </c>
      <c r="N130" s="9" t="s">
        <v>95</v>
      </c>
      <c r="O130" s="9" t="s">
        <v>96</v>
      </c>
      <c r="P130" s="9" t="s">
        <v>97</v>
      </c>
      <c r="Q130" s="9" t="s">
        <v>99</v>
      </c>
      <c r="R130" s="23" t="s">
        <v>98</v>
      </c>
    </row>
    <row r="131" spans="1:18" ht="15" thickBot="1" x14ac:dyDescent="0.35">
      <c r="A131" s="9">
        <v>0</v>
      </c>
      <c r="B131" s="1">
        <v>0.5</v>
      </c>
      <c r="C131" s="1" cm="1">
        <f t="array" ref="C131">Add(A131, B131)</f>
        <v>-0.3</v>
      </c>
      <c r="D131" s="1" cm="1">
        <f t="array" ref="D131">Add(A131,B131)</f>
        <v>-0.3</v>
      </c>
      <c r="E131" s="1" cm="1">
        <f t="array" ref="E131">Add((A131+1/5*$D$129),(B131+1/5*D131*$D$129))</f>
        <v>-0.28199999999999997</v>
      </c>
      <c r="F131" s="1" cm="1">
        <f t="array" ref="F131">Add(($A131+3/10*$D$129),($B131+3/40*$D131*$D$129+9/40*$E131*$D$129))</f>
        <v>-0.27421499999999999</v>
      </c>
      <c r="G131" s="1" cm="1">
        <f t="array" ref="G131">Add(($A131+3/5*$D$129),($B131+3/10*$D131*$D$129-9/10*$E131*$D$129 + 6/5*$F131*$D$129))</f>
        <v>-0.2504226</v>
      </c>
      <c r="H131" s="1" cm="1">
        <f t="array" ref="H131">Add(($A131+$D$129),($B131-11/54*$D131*$D$129+5/2*$E131*$D$129 -70/27*$F131*$D$129+35/27*$G131*$D$129))</f>
        <v>-0.22272509999999998</v>
      </c>
      <c r="I131" s="1" cm="1">
        <f t="array" ref="I131">Add(($A131+7/8*$D$129),($B131+1631/55296*$D131*$D$129+175/512*$E131*$D$129 +575/13824*$F131*$D$129+44275/110592*$G131*$D$129+253/4096*$H131*$D$129))</f>
        <v>-0.230803806496582</v>
      </c>
      <c r="J131" s="32">
        <f>B131+(37/378*D131+250/621*F131+125/594*G131+512/1771*I131)*$D129</f>
        <v>0.370409080625</v>
      </c>
      <c r="K131" s="22">
        <f>B131+(2825/27648*D131+18575/48384*F131+13525/55296*G131+277/14336*H131+1/4*I131)*D129</f>
        <v>0.37040874511077881</v>
      </c>
      <c r="L131" s="1">
        <f>ABS($B132)+ABS($C132*$D$129)</f>
        <v>0.48153136864401247</v>
      </c>
      <c r="M131" s="32">
        <f>ABS($J131)-ABS($K131)</f>
        <v>3.3551422118360819E-7</v>
      </c>
      <c r="N131" s="32">
        <v>9.9999999999999995E-7</v>
      </c>
      <c r="O131" s="32">
        <f>$N131*$L131</f>
        <v>4.8153136864401242E-7</v>
      </c>
      <c r="P131" s="1">
        <f>IF($M131&lt;$O131, 0.2, 0.25)</f>
        <v>0.2</v>
      </c>
      <c r="Q131" s="1">
        <v>0.8</v>
      </c>
      <c r="R131" s="33">
        <f>$Q131*$D$129*ABS($O131/$M131)^$P131</f>
        <v>0.42997452114194357</v>
      </c>
    </row>
    <row r="132" spans="1:18" ht="15" thickBot="1" x14ac:dyDescent="0.35">
      <c r="A132" s="36">
        <f>A131+$D$129</f>
        <v>0.5</v>
      </c>
      <c r="B132" s="1">
        <f>K131</f>
        <v>0.37040874511077881</v>
      </c>
      <c r="C132" s="1" cm="1">
        <f t="array" ref="C132">Add(A132, B132)</f>
        <v>-0.22224524706646728</v>
      </c>
      <c r="D132" s="1" cm="1">
        <f t="array" ref="D132">Add(A132,B132)</f>
        <v>-0.22224524706646728</v>
      </c>
      <c r="E132" s="1" cm="1">
        <f t="array" ref="E132">Add((A132+1/5*$R131),(B132+1/5*D132*$R131))</f>
        <v>-0.21077807182444999</v>
      </c>
      <c r="F132" s="1" cm="1">
        <f t="array" ref="F132">Add(($A132+3/10*$R131),($B132+3/40*$D132*$R131+9/40*$E132*$R131))</f>
        <v>-0.20571011428321892</v>
      </c>
      <c r="G132" s="1" cm="1">
        <f t="array" ref="G132">Add(($A132+3/5*$R131),($B132+3/10*$D132*$R131-9/10*$E132*$R131 + 6/5*$F132*$R131))</f>
        <v>-0.19030017479766234</v>
      </c>
      <c r="H132" s="1" cm="1">
        <f t="array" ref="H132">Add(($A132+$R131),($B132-11/54*$D132*$R131+5/2*$E132*$R131 -70/27*$F132*$R131+35/27*$G132*$R131))</f>
        <v>-0.17192896828217888</v>
      </c>
      <c r="I132" s="1" cm="1">
        <f t="array" ref="I132">Add(($A132+7/8*$R131),($B132+1631/55296*$D132*$R131+175/512*$E132*$R131 +575/13824*$F132*$R131+44275/110592*$G132*$R131+253/4096*$H132*$R131))</f>
        <v>-0.17736612301756224</v>
      </c>
      <c r="J132" s="32">
        <f>B132+(37/378*D132+250/621*F132+125/594*G132+512/1771*I132)*$R131</f>
        <v>0.28618039554709213</v>
      </c>
      <c r="K132" s="35">
        <f>B132+(2825/27648*D132+18575/48384*F132+13525/55296*G132+277/14336*H132+1/4*I132)*R131</f>
        <v>0.2861802816617296</v>
      </c>
      <c r="L132" s="32">
        <f>ABS($B133)+ABS($C133*R131)</f>
        <v>0.36001041940239081</v>
      </c>
      <c r="M132" s="32">
        <f t="shared" ref="M132:M163" si="67">ABS($J132)-ABS($K132)</f>
        <v>1.1388536252932013E-7</v>
      </c>
      <c r="N132" s="32">
        <v>9.9999999999999995E-7</v>
      </c>
      <c r="O132" s="32">
        <f t="shared" ref="O132:O163" si="68">$N132*$L132</f>
        <v>3.6001041940239077E-7</v>
      </c>
      <c r="P132" s="1">
        <f t="shared" ref="P132:P163" si="69">IF($M132&lt;$O132, 0.2, 0.25)</f>
        <v>0.2</v>
      </c>
      <c r="Q132" s="1">
        <v>0.8</v>
      </c>
      <c r="R132" s="33">
        <f>$Q132*R131*ABS($O132/$M132)^$P132</f>
        <v>0.43301420224333981</v>
      </c>
    </row>
    <row r="133" spans="1:18" ht="15" thickBot="1" x14ac:dyDescent="0.35">
      <c r="A133" s="36">
        <f>A132+R131</f>
        <v>0.92997452114194357</v>
      </c>
      <c r="B133" s="32">
        <f>K132</f>
        <v>0.2861802816617296</v>
      </c>
      <c r="C133" s="1" cm="1">
        <f t="array" ref="C133">Add(A133, B133)</f>
        <v>-0.17170816899703775</v>
      </c>
      <c r="D133" s="1" cm="1">
        <f t="array" ref="D133">Add(A133,B133)</f>
        <v>-0.17170816899703775</v>
      </c>
      <c r="E133" s="1" cm="1">
        <f t="array" ref="E133">Add((A133+1/5*$R132),(B133+1/5*D133*$R132))</f>
        <v>-0.16278591989900773</v>
      </c>
      <c r="F133" s="1" cm="1">
        <f t="array" ref="F133">Add(($A133+3/10*$R132),($B133+3/40*$D133*$R132+9/40*$E133*$R132))</f>
        <v>-0.15884636252767168</v>
      </c>
      <c r="G133" s="1" cm="1">
        <f t="array" ref="G133">Add(($A133+3/5*$R132),($B133+3/10*$D133*$R132-9/10*$E133*$R132 + 6/5*$F133*$R132))</f>
        <v>-0.1468650812970051</v>
      </c>
      <c r="H133" s="1" cm="1">
        <f t="array" ref="H133">Add(($A133+$R132),($B133-11/54*$D133*$R132+5/2*$E133*$R132 -70/27*$F133*$R132+35/27*$G133*$R132))</f>
        <v>-0.13259556331037026</v>
      </c>
      <c r="I133" s="1" cm="1">
        <f t="array" ref="I133">Add(($A133+7/8*$R132),($B133+1631/55296*$D133*$R132+175/512*$E133*$R132 +575/13824*$F133*$R132+44275/110592*$G133*$R132+253/4096*$H133*$R132))</f>
        <v>-0.13681630919712498</v>
      </c>
      <c r="J133" s="32">
        <f t="shared" ref="J133:J144" si="70">B133+(37/378*D133+250/621*F133+125/594*G133+512/1771*I133)*$R132</f>
        <v>0.22070200784976957</v>
      </c>
      <c r="K133" s="35">
        <f t="shared" ref="K133:K144" si="71">B133+(2825/27648*D133+18575/48384*F133+13525/55296*G133+277/14336*H133+1/4*I133)*R132</f>
        <v>0.22070191660227681</v>
      </c>
      <c r="L133" s="32">
        <f t="shared" ref="L133:L163" si="72">ABS($B134)+ABS($C134*R132)</f>
        <v>0.27804215521294245</v>
      </c>
      <c r="M133" s="32">
        <f t="shared" si="67"/>
        <v>9.12474927561302E-8</v>
      </c>
      <c r="N133" s="32">
        <v>9.9999999999999995E-7</v>
      </c>
      <c r="O133" s="32">
        <f t="shared" si="68"/>
        <v>2.7804215521294244E-7</v>
      </c>
      <c r="P133" s="1">
        <f t="shared" si="69"/>
        <v>0.2</v>
      </c>
      <c r="Q133" s="1">
        <v>0.8</v>
      </c>
      <c r="R133" s="33">
        <f t="shared" ref="R133:R144" si="73">$Q133*R132*ABS($O133/$M133)^$P133</f>
        <v>0.43288253984271796</v>
      </c>
    </row>
    <row r="134" spans="1:18" ht="15" thickBot="1" x14ac:dyDescent="0.35">
      <c r="A134" s="34">
        <f t="shared" ref="A134:A140" si="74">A133+R132</f>
        <v>1.3629887233852833</v>
      </c>
      <c r="B134" s="32">
        <f>K133</f>
        <v>0.22070191660227681</v>
      </c>
      <c r="C134" s="1" cm="1">
        <f t="array" ref="C134">Add(A134, B134)</f>
        <v>-0.13242114996136392</v>
      </c>
      <c r="D134" s="1" cm="1">
        <f t="array" ref="D134">Add(A134,B134)</f>
        <v>-0.13242114996136392</v>
      </c>
      <c r="E134" s="1" cm="1">
        <f t="array" ref="E134">Add((A134+1/5*$R133),(B134+1/5*D134*$R133))</f>
        <v>-0.12554241349433626</v>
      </c>
      <c r="F134" s="1" cm="1">
        <f t="array" ref="F134">Add(($A134+3/10*$R133),($B134+3/40*$D134*$R133+9/40*$E134*$R133))</f>
        <v>-0.12250503157620818</v>
      </c>
      <c r="G134" s="1" cm="1">
        <f t="array" ref="G134">Add(($A134+3/5*$R133),($B134+3/10*$D134*$R133-9/10*$E134*$R133 + 6/5*$F134*$R133))</f>
        <v>-0.11323560825207996</v>
      </c>
      <c r="H134" s="1" cm="1">
        <f t="array" ref="H134">Add(($A134+$R133),($B134-11/54*$D134*$R133+5/2*$E134*$R133 -70/27*$F134*$R133+35/27*$G134*$R133))</f>
        <v>0.14400397112441576</v>
      </c>
      <c r="I134" s="1" cm="1">
        <f t="array" ref="I134">Add(($A134+7/8*$R133),($B134+1631/55296*$D134*$R133+175/512*$E134*$R133 +575/13824*$F134*$R133+44275/110592*$G134*$R133+253/4096*$H134*$R133))</f>
        <v>-8.282987684837731E-2</v>
      </c>
      <c r="J134" s="32">
        <f t="shared" si="70"/>
        <v>0.17306109530176778</v>
      </c>
      <c r="K134" s="35">
        <f t="shared" si="71"/>
        <v>0.17473726726607253</v>
      </c>
      <c r="L134" s="32">
        <f t="shared" si="72"/>
        <v>0.23596325270742657</v>
      </c>
      <c r="M134" s="32">
        <f t="shared" si="67"/>
        <v>-1.6761719643047512E-3</v>
      </c>
      <c r="N134" s="32">
        <v>9.9999999999999995E-7</v>
      </c>
      <c r="O134" s="32">
        <f t="shared" si="68"/>
        <v>2.3596325270742656E-7</v>
      </c>
      <c r="P134" s="1">
        <f t="shared" si="69"/>
        <v>0.2</v>
      </c>
      <c r="Q134" s="1">
        <v>0.8</v>
      </c>
      <c r="R134" s="33">
        <f t="shared" si="73"/>
        <v>5.8771289060439588E-2</v>
      </c>
    </row>
    <row r="135" spans="1:18" ht="15" thickBot="1" x14ac:dyDescent="0.35">
      <c r="A135" s="34">
        <f t="shared" si="74"/>
        <v>1.7958712632280012</v>
      </c>
      <c r="B135" s="1">
        <f t="shared" ref="B133:B140" si="75">K134</f>
        <v>0.17473726726607253</v>
      </c>
      <c r="C135" s="1" cm="1">
        <f t="array" ref="C135">Add(A135, B135)</f>
        <v>0.14143787241592071</v>
      </c>
      <c r="D135" s="1" cm="1">
        <f t="array" ref="D135">Add(A135,B135)</f>
        <v>0.14143787241592071</v>
      </c>
      <c r="E135" s="1" cm="1">
        <f t="array" ref="E135">Add((A135+1/5*$R134),(B135+1/5*D135*$R134))</f>
        <v>0.26684966301121377</v>
      </c>
      <c r="F135" s="1" cm="1">
        <f t="array" ref="F135">Add(($A135+3/10*$R134),($B135+3/40*$D135*$R134+9/40*$E135*$R134))</f>
        <v>0.34692770173475368</v>
      </c>
      <c r="G135" s="1" cm="1">
        <f t="array" ref="G135">Add(($A135+3/5*$R134),($B135+3/10*$D135*$R134-9/10*$E135*$R134 + 6/5*$F135*$R134))</f>
        <v>0.68028105844149667</v>
      </c>
      <c r="H135" s="1" cm="1">
        <f t="array" ref="H135">Add(($A135+$R134),($B135-11/54*$D135*$R134+5/2*$E135*$R134 -70/27*$F135*$R134+35/27*$G135*$R134))</f>
        <v>1.40205038778744</v>
      </c>
      <c r="I135" s="1" cm="1">
        <f t="array" ref="I135">Add(($A135+7/8*$R134),($B135+1631/55296*$D135*$R134+175/512*$E135*$R134 +575/13824*$F135*$R134+44275/110592*$G135*$R134+253/4096*$H135*$R134))</f>
        <v>1.1370169009730569</v>
      </c>
      <c r="J135" s="32">
        <f t="shared" si="70"/>
        <v>0.21149167144356432</v>
      </c>
      <c r="K135" s="35">
        <f>B135+(2825/27648*D135+18575/48384*F135+13525/55296*G135+277/14336*H135+1/4*I135)*R134</f>
        <v>0.21149144838409609</v>
      </c>
      <c r="L135" s="32">
        <f t="shared" si="72"/>
        <v>0.29388209922823938</v>
      </c>
      <c r="M135" s="32">
        <f t="shared" si="67"/>
        <v>2.2305946822953615E-7</v>
      </c>
      <c r="N135" s="32">
        <v>9.9999999999999995E-7</v>
      </c>
      <c r="O135" s="32">
        <f t="shared" si="68"/>
        <v>2.9388209922823935E-7</v>
      </c>
      <c r="P135" s="1">
        <f t="shared" si="69"/>
        <v>0.2</v>
      </c>
      <c r="Q135" s="1">
        <v>0.8</v>
      </c>
      <c r="R135" s="33">
        <f t="shared" si="73"/>
        <v>4.9682758125847777E-2</v>
      </c>
    </row>
    <row r="136" spans="1:18" ht="15" thickBot="1" x14ac:dyDescent="0.35">
      <c r="A136" s="34">
        <f t="shared" si="74"/>
        <v>1.8546425522884407</v>
      </c>
      <c r="B136" s="1">
        <f t="shared" si="75"/>
        <v>0.21149144838409609</v>
      </c>
      <c r="C136" s="1" cm="1">
        <f t="array" ref="C136">Add(A136, B136)</f>
        <v>1.4018860596951324</v>
      </c>
      <c r="D136" s="1" cm="1">
        <f t="array" ref="D136">Add(A136,B136)</f>
        <v>1.4018860596951324</v>
      </c>
      <c r="E136" s="1" cm="1">
        <f t="array" ref="E136">Add((A136+1/5*$R135),(B136+1/5*D136*$R135))</f>
        <v>1.823813204377277</v>
      </c>
      <c r="F136" s="1" cm="1">
        <f t="array" ref="F136">Add(($A136+3/10*$R135),($B136+3/40*$D136*$R135+9/40*$E136*$R135))</f>
        <v>2.0608793452474621</v>
      </c>
      <c r="G136" s="1" cm="1">
        <f t="array" ref="G136">Add(($A136+3/5*$R135),($B136+3/10*$D136*$R135-9/10*$E136*$R135 + 6/5*$F136*$R135))</f>
        <v>2.8877974299664304</v>
      </c>
      <c r="H136" s="1" cm="1">
        <f t="array" ref="H136">Add(($A136+$R135),($B136-11/54*$D136*$R135+5/2*$E136*$R135 -70/27*$F136*$R135+35/27*$G136*$R135))</f>
        <v>4.2257226128705927</v>
      </c>
      <c r="I136" s="1" cm="1">
        <f t="array" ref="I136">Add(($A136+7/8*$R135),($B136+1631/55296*$D136*$R135+175/512*$E136*$R135 +575/13824*$F136*$R135+44275/110592*$G136*$R135+253/4096*$H136*$R135))</f>
        <v>3.7828699889036588</v>
      </c>
      <c r="J136" s="32">
        <f t="shared" si="70"/>
        <v>0.34405601438861078</v>
      </c>
      <c r="K136" s="35">
        <f t="shared" si="71"/>
        <v>0.34405150751602137</v>
      </c>
      <c r="L136" s="32">
        <f t="shared" si="72"/>
        <v>0.55400632460433497</v>
      </c>
      <c r="M136" s="32">
        <f t="shared" si="67"/>
        <v>4.5068725894048534E-6</v>
      </c>
      <c r="N136" s="32">
        <v>9.9999999999999995E-7</v>
      </c>
      <c r="O136" s="32">
        <f t="shared" si="68"/>
        <v>5.540063246043349E-7</v>
      </c>
      <c r="P136" s="1">
        <f t="shared" si="69"/>
        <v>0.25</v>
      </c>
      <c r="Q136" s="1">
        <v>0.8</v>
      </c>
      <c r="R136" s="33">
        <f t="shared" si="73"/>
        <v>2.3534530841081664E-2</v>
      </c>
    </row>
    <row r="137" spans="1:18" ht="15" thickBot="1" x14ac:dyDescent="0.35">
      <c r="A137" s="34">
        <f t="shared" si="74"/>
        <v>1.9043253104142885</v>
      </c>
      <c r="B137" s="1">
        <f t="shared" si="75"/>
        <v>0.34405150751602137</v>
      </c>
      <c r="C137" s="1" cm="1">
        <f t="array" ref="C137">Add(A137, B137)</f>
        <v>4.2259090478932828</v>
      </c>
      <c r="D137" s="1" cm="1">
        <f t="array" ref="D137">Add(A137,B137)</f>
        <v>4.2259090478932828</v>
      </c>
      <c r="E137" s="1" cm="1">
        <f t="array" ref="E137">Add((A137+1/5*$R136),(B137+1/5*D137*$R136))</f>
        <v>4.5739673070578553</v>
      </c>
      <c r="F137" s="1" cm="1">
        <f t="array" ref="F137">Add(($A137+3/10*$R136),($B137+3/40*$D137*$R136+9/40*$E137*$R136))</f>
        <v>4.7503562820881529</v>
      </c>
      <c r="G137" s="1" cm="1">
        <f t="array" ref="G137">Add(($A137+3/5*$R136),($B137+3/10*$D137*$R136-9/10*$E137*$R136 + 6/5*$F137*$R136))</f>
        <v>5.2899022398893276</v>
      </c>
      <c r="H137" s="1" cm="1">
        <f t="array" ref="H137">Add(($A137+$R136),($B137-11/54*$D137*$R136+5/2*$E137*$R136 -70/27*$F137*$R136+35/27*$G137*$R136))</f>
        <v>6.0178037471860089</v>
      </c>
      <c r="I137" s="1" cm="1">
        <f t="array" ref="I137">Add(($A137+7/8*$R136),($B137+1631/55296*$D137*$R136+175/512*$E137*$R136 +575/13824*$F137*$R136+44275/110592*$G137*$R136+253/4096*$H137*$R136))</f>
        <v>5.790466815607763</v>
      </c>
      <c r="J137" s="32">
        <f t="shared" si="70"/>
        <v>0.46438969590280332</v>
      </c>
      <c r="K137" s="35">
        <f t="shared" si="71"/>
        <v>0.46438958620733239</v>
      </c>
      <c r="L137" s="32">
        <f t="shared" si="72"/>
        <v>0.60601656210375654</v>
      </c>
      <c r="M137" s="32">
        <f t="shared" si="67"/>
        <v>1.0969547092898324E-7</v>
      </c>
      <c r="N137" s="32">
        <v>9.9999999999999995E-7</v>
      </c>
      <c r="O137" s="32">
        <f t="shared" si="68"/>
        <v>6.060165621037565E-7</v>
      </c>
      <c r="P137" s="1">
        <f t="shared" si="69"/>
        <v>0.2</v>
      </c>
      <c r="Q137" s="1">
        <v>0.8</v>
      </c>
      <c r="R137" s="33">
        <f t="shared" si="73"/>
        <v>2.650053803275898E-2</v>
      </c>
    </row>
    <row r="138" spans="1:18" ht="15" thickBot="1" x14ac:dyDescent="0.35">
      <c r="A138" s="34">
        <f t="shared" si="74"/>
        <v>1.9278598412553702</v>
      </c>
      <c r="B138" s="1">
        <f t="shared" si="75"/>
        <v>0.46438958620733239</v>
      </c>
      <c r="C138" s="1" cm="1">
        <f t="array" ref="C138">Add(A138, B138)</f>
        <v>6.0178372304410432</v>
      </c>
      <c r="D138" s="1" cm="1">
        <f t="array" ref="D138">Add(A138,B138)</f>
        <v>6.0178372304410432</v>
      </c>
      <c r="E138" s="1" cm="1">
        <f t="array" ref="E138">Add((A138+1/5*$R137),(B138+1/5*D138*$R137))</f>
        <v>6.4247671610995791</v>
      </c>
      <c r="F138" s="1" cm="1">
        <f t="array" ref="F138">Add(($A138+3/10*$R137),($B138+3/40*$D138*$R137+9/40*$E138*$R137))</f>
        <v>6.6244725728485339</v>
      </c>
      <c r="G138" s="1" cm="1">
        <f t="array" ref="G138">Add(($A138+3/5*$R137),($B138+3/10*$D138*$R137-9/10*$E138*$R137 + 6/5*$F138*$R137))</f>
        <v>7.2073665778869973</v>
      </c>
      <c r="H138" s="1" cm="1">
        <f t="array" ref="H138">Add(($A138+$R137),($B138-11/54*$D138*$R137+5/2*$E138*$R137 -70/27*$F138*$R137+35/27*$G138*$R137))</f>
        <v>7.9197628377879381</v>
      </c>
      <c r="I138" s="1" cm="1">
        <f t="array" ref="I138">Add(($A138+7/8*$R137),($B138+1631/55296*$D138*$R137+175/512*$E138*$R137 +575/13824*$F138*$R137+44275/110592*$G138*$R137+253/4096*$H138*$R137))</f>
        <v>7.7071020792879237</v>
      </c>
      <c r="J138" s="32">
        <f t="shared" si="70"/>
        <v>0.64991313183396815</v>
      </c>
      <c r="K138" s="35">
        <f t="shared" si="71"/>
        <v>0.64991308911977752</v>
      </c>
      <c r="L138" s="32">
        <f t="shared" si="72"/>
        <v>0.85979259981460099</v>
      </c>
      <c r="M138" s="32">
        <f t="shared" si="67"/>
        <v>4.2714190628956317E-8</v>
      </c>
      <c r="N138" s="32">
        <v>9.9999999999999995E-7</v>
      </c>
      <c r="O138" s="32">
        <f t="shared" si="68"/>
        <v>8.5979259981460096E-7</v>
      </c>
      <c r="P138" s="1">
        <f t="shared" si="69"/>
        <v>0.2</v>
      </c>
      <c r="Q138" s="1">
        <v>0.8</v>
      </c>
      <c r="R138" s="33">
        <f t="shared" si="73"/>
        <v>3.8646394484242924E-2</v>
      </c>
    </row>
    <row r="139" spans="1:18" ht="15" thickBot="1" x14ac:dyDescent="0.35">
      <c r="A139" s="34">
        <f t="shared" si="74"/>
        <v>1.9543603792881292</v>
      </c>
      <c r="B139" s="1">
        <f t="shared" si="75"/>
        <v>0.64991308911977752</v>
      </c>
      <c r="C139" s="1" cm="1">
        <f t="array" ref="C139">Add(A139, B139)</f>
        <v>7.9198207385592765</v>
      </c>
      <c r="D139" s="1" cm="1">
        <f t="array" ref="D139">Add(A139,B139)</f>
        <v>7.9198207385592765</v>
      </c>
      <c r="E139" s="1" cm="1">
        <f t="array" ref="E139">Add((A139+1/5*$R138),(B139+1/5*D139*$R138))</f>
        <v>8.3740520466191892</v>
      </c>
      <c r="F139" s="1" cm="1">
        <f t="array" ref="F139">Add(($A139+3/10*$R138),($B139+3/40*$D139*$R138+9/40*$E139*$R138))</f>
        <v>8.573570428618865</v>
      </c>
      <c r="G139" s="1" cm="1">
        <f t="array" ref="G139">Add(($A139+3/5*$R138),($B139+3/10*$D139*$R138-9/10*$E139*$R138 + 6/5*$F139*$R138))</f>
        <v>9.0529713629646231</v>
      </c>
      <c r="H139" s="1" cm="1">
        <f t="array" ref="H139">Add(($A139+$R138),($B139-11/54*$D139*$R138+5/2*$E139*$R138 -70/27*$F139*$R138+35/27*$G139*$R138))</f>
        <v>9.3619407119625055</v>
      </c>
      <c r="I139" s="1" cm="1">
        <f t="array" ref="I139">Add(($A139+7/8*$R138),($B139+1631/55296*$D139*$R138+175/512*$E139*$R138 +575/13824*$F139*$R138+44275/110592*$G139*$R138+253/4096*$H139*$R138))</f>
        <v>9.3090444357954194</v>
      </c>
      <c r="J139" s="32">
        <f t="shared" si="70"/>
        <v>0.99089371537315951</v>
      </c>
      <c r="K139" s="35">
        <f t="shared" si="71"/>
        <v>0.99089530469006726</v>
      </c>
      <c r="L139" s="32">
        <f t="shared" si="72"/>
        <v>1.3527061683250361</v>
      </c>
      <c r="M139" s="32">
        <f t="shared" si="67"/>
        <v>-1.5893169077463298E-6</v>
      </c>
      <c r="N139" s="32">
        <v>9.9999999999999995E-7</v>
      </c>
      <c r="O139" s="32">
        <f t="shared" si="68"/>
        <v>1.3527061683250361E-6</v>
      </c>
      <c r="P139" s="1">
        <f t="shared" si="69"/>
        <v>0.2</v>
      </c>
      <c r="Q139" s="1">
        <v>0.8</v>
      </c>
      <c r="R139" s="33">
        <f t="shared" si="73"/>
        <v>2.9936261441858313E-2</v>
      </c>
    </row>
    <row r="140" spans="1:18" ht="15" thickBot="1" x14ac:dyDescent="0.35">
      <c r="A140" s="34">
        <f t="shared" si="74"/>
        <v>1.9930067737723722</v>
      </c>
      <c r="B140" s="1">
        <f t="shared" si="75"/>
        <v>0.99089530469006726</v>
      </c>
      <c r="C140" s="1" cm="1">
        <f t="array" ref="C140">Add(A140, B140)</f>
        <v>9.3620858676088883</v>
      </c>
      <c r="D140" s="1" cm="1">
        <f t="array" ref="D140">Add(A140,B140)</f>
        <v>9.3620858676088883</v>
      </c>
      <c r="E140" s="1" cm="1">
        <f t="array" ref="E140">Add((A140+1/5*$R139),(B140+1/5*D140*$R139))</f>
        <v>9.3709314146746117</v>
      </c>
      <c r="F140" s="1" cm="1">
        <f t="array" ref="F140">Add(($A140+3/10*$R139),($B140+3/40*$D140*$R139+9/40*$E140*$R139))</f>
        <v>9.3514680445515346</v>
      </c>
      <c r="G140" s="1" cm="1">
        <f t="array" ref="G140">Add(($A140+3/5*$R139),($B140+3/10*$D140*$R139-9/10*$E140*$R139 + 6/5*$F140*$R139))</f>
        <v>9.1985677135874919</v>
      </c>
      <c r="H140" s="1" cm="1">
        <f t="array" ref="H140">Add(($A140+$R139),($B140-11/54*$D140*$R139+5/2*$E140*$R139 -70/27*$F140*$R139+35/27*$G140*$R139))</f>
        <v>8.7831006764076047</v>
      </c>
      <c r="I140" s="1" cm="1">
        <f t="array" ref="I140">Add(($A140+7/8*$R139),($B140+1631/55296*$D140*$R139+175/512*$E140*$R139 +575/13824*$F140*$R139+44275/110592*$G140*$R139+253/4096*$H140*$R139))</f>
        <v>8.9376925029343344</v>
      </c>
      <c r="J140" s="32">
        <f t="shared" si="70"/>
        <v>1.2663301030148841</v>
      </c>
      <c r="K140" s="35">
        <f t="shared" si="71"/>
        <v>1.2663307264025216</v>
      </c>
      <c r="L140" s="32">
        <f t="shared" si="72"/>
        <v>1.5292634033127952</v>
      </c>
      <c r="M140" s="32">
        <f t="shared" si="67"/>
        <v>-6.2338763751057513E-7</v>
      </c>
      <c r="N140" s="32">
        <v>9.9999999999999995E-7</v>
      </c>
      <c r="O140" s="32">
        <f t="shared" si="68"/>
        <v>1.5292634033127951E-6</v>
      </c>
      <c r="P140" s="1">
        <f t="shared" si="69"/>
        <v>0.2</v>
      </c>
      <c r="Q140" s="1">
        <v>0.8</v>
      </c>
      <c r="R140" s="33">
        <f t="shared" si="73"/>
        <v>2.8657108764690093E-2</v>
      </c>
    </row>
    <row r="141" spans="1:18" ht="15" thickBot="1" x14ac:dyDescent="0.35">
      <c r="A141" s="34">
        <f t="shared" ref="A141:A149" si="76">A140+R139</f>
        <v>2.0229430352142304</v>
      </c>
      <c r="B141" s="1">
        <f t="shared" ref="B141:B149" si="77">K140</f>
        <v>1.2663307264025216</v>
      </c>
      <c r="C141" s="1" cm="1">
        <f t="array" ref="C141">Add(A141, B141)</f>
        <v>8.7830832657891094</v>
      </c>
      <c r="D141" s="1" cm="1">
        <f t="array" ref="D141">Add(A141,B141)</f>
        <v>8.7830832657891094</v>
      </c>
      <c r="E141" s="1" cm="1">
        <f t="array" ref="E141">Add((A141+1/5*$R140),(B141+1/5*D141*$R140))</f>
        <v>8.5052009402753175</v>
      </c>
      <c r="F141" s="1" cm="1">
        <f t="array" ref="F141">Add(($A141+3/10*$R140),($B141+3/40*$D141*$R140+9/40*$E141*$R140))</f>
        <v>8.3496878587048524</v>
      </c>
      <c r="G141" s="1" cm="1">
        <f t="array" ref="G141">Add(($A141+3/5*$R140),($B141+3/10*$D141*$R140-9/10*$E141*$R140 + 6/5*$F141*$R140))</f>
        <v>7.8200376091911057</v>
      </c>
      <c r="H141" s="1" cm="1">
        <f t="array" ref="H141">Add(($A141+$R140),($B141-11/54*$D141*$R140+5/2*$E141*$R140 -70/27*$F141*$R140+35/27*$G141*$R140))</f>
        <v>6.9957640395724381</v>
      </c>
      <c r="I141" s="1" cm="1">
        <f t="array" ref="I141">Add(($A141+7/8*$R140),($B141+1631/55296*$D141*$R140+175/512*$E141*$R140 +575/13824*$F141*$R140+44275/110592*$G141*$R140+253/4096*$H141*$R140))</f>
        <v>7.2653813344130933</v>
      </c>
      <c r="J141" s="32">
        <f t="shared" si="70"/>
        <v>1.4946469662034891</v>
      </c>
      <c r="K141" s="35">
        <f t="shared" si="71"/>
        <v>1.4946472229366616</v>
      </c>
      <c r="L141" s="32">
        <f t="shared" si="72"/>
        <v>1.695123828591834</v>
      </c>
      <c r="M141" s="32">
        <f t="shared" si="67"/>
        <v>-2.5673317249896854E-7</v>
      </c>
      <c r="N141" s="32">
        <v>9.9999999999999995E-7</v>
      </c>
      <c r="O141" s="32">
        <f t="shared" si="68"/>
        <v>1.6951238285918339E-6</v>
      </c>
      <c r="P141" s="1">
        <f t="shared" si="69"/>
        <v>0.2</v>
      </c>
      <c r="Q141" s="1">
        <v>1.8</v>
      </c>
      <c r="R141" s="33">
        <f t="shared" si="73"/>
        <v>7.5239996275409893E-2</v>
      </c>
    </row>
    <row r="142" spans="1:18" ht="15" thickBot="1" x14ac:dyDescent="0.35">
      <c r="A142" s="34">
        <f t="shared" si="76"/>
        <v>2.0516001439789204</v>
      </c>
      <c r="B142" s="1">
        <f t="shared" si="77"/>
        <v>1.4946472229366616</v>
      </c>
      <c r="C142" s="1" cm="1">
        <f t="array" ref="C142">Add(A142, B142)</f>
        <v>6.9957024381395314</v>
      </c>
      <c r="D142" s="1" cm="1">
        <f t="array" ref="D142">Add(A142,B142)</f>
        <v>6.9957024381395314</v>
      </c>
      <c r="E142" s="1" cm="1">
        <f t="array" ref="E142">Add((A142+1/5*$R141),(B142+1/5*D142*$R141))</f>
        <v>5.7779122670041998</v>
      </c>
      <c r="F142" s="1" cm="1">
        <f t="array" ref="F142">Add(($A142+3/10*$R141),($B142+3/40*$D142*$R141+9/40*$E142*$R141))</f>
        <v>5.153090357094924</v>
      </c>
      <c r="G142" s="1" cm="1">
        <f t="array" ref="G142">Add(($A142+3/5*$R141),($B142+3/10*$D142*$R141-9/10*$E142*$R141 + 6/5*$F142*$R141))</f>
        <v>3.3160658968948038</v>
      </c>
      <c r="H142" s="1" cm="1">
        <f t="array" ref="H142">Add(($A142+$R141),($B142-11/54*$D142*$R141+5/2*$E142*$R141 -70/27*$F142*$R141+35/27*$G142*$R141))</f>
        <v>1.317403773347815</v>
      </c>
      <c r="I142" s="1" cm="1">
        <f t="array" ref="I142">Add(($A142+7/8*$R141),($B142+1631/55296*$D142*$R141+175/512*$E142*$R141 +575/13824*$F142*$R141+44275/110592*$G142*$R141+253/4096*$H142*$R141))</f>
        <v>1.8664903221911473</v>
      </c>
      <c r="J142" s="32">
        <f t="shared" si="70"/>
        <v>1.7953596178897304</v>
      </c>
      <c r="K142" s="35">
        <f t="shared" si="71"/>
        <v>1.7953271409766252</v>
      </c>
      <c r="L142" s="32">
        <f t="shared" si="72"/>
        <v>1.8943201778597962</v>
      </c>
      <c r="M142" s="32">
        <f t="shared" si="67"/>
        <v>3.2476913105261573E-5</v>
      </c>
      <c r="N142" s="32">
        <v>9.9999999999999995E-7</v>
      </c>
      <c r="O142" s="32">
        <f t="shared" si="68"/>
        <v>1.8943201778597961E-6</v>
      </c>
      <c r="P142" s="1">
        <f t="shared" si="69"/>
        <v>0.25</v>
      </c>
      <c r="Q142" s="1">
        <v>2.8</v>
      </c>
      <c r="R142" s="33">
        <f t="shared" si="73"/>
        <v>0.10353244187173438</v>
      </c>
    </row>
    <row r="143" spans="1:18" ht="15" thickBot="1" x14ac:dyDescent="0.35">
      <c r="A143" s="34">
        <f t="shared" si="76"/>
        <v>2.1268401402543304</v>
      </c>
      <c r="B143" s="1">
        <f t="shared" si="77"/>
        <v>1.7953271409766252</v>
      </c>
      <c r="C143" s="1" cm="1">
        <f t="array" ref="C143">Add(A143, B143)</f>
        <v>1.3156969934024865</v>
      </c>
      <c r="D143" s="1" cm="1">
        <f t="array" ref="D143">Add(A143,B143)</f>
        <v>1.3156969934024865</v>
      </c>
      <c r="E143" s="1" cm="1">
        <f t="array" ref="E143">Add((A143+1/5*$R142),(B143+1/5*D143*$R142))</f>
        <v>0.35053888437080671</v>
      </c>
      <c r="F143" s="1" cm="1">
        <f t="array" ref="F143">Add(($A143+3/10*$R142),($B143+3/40*$D143*$R142+9/40*$E143*$R142))</f>
        <v>1.9889689544305769E-3</v>
      </c>
      <c r="G143" s="1" cm="1">
        <f t="array" ref="G143">Add(($A143+3/5*$R142),($B143+3/10*$D143*$R142-9/10*$E143*$R142 + 6/5*$F143*$R142))</f>
        <v>-0.66384098156124394</v>
      </c>
      <c r="H143" s="1" cm="1">
        <f t="array" ref="H143">Add(($A143+$R142),($B143-11/54*$D143*$R142+5/2*$E143*$R142 -70/27*$F143*$R142+35/27*$G143*$R142))</f>
        <v>-0.97183173522638666</v>
      </c>
      <c r="I143" s="1" cm="1">
        <f t="array" ref="I143">Add(($A143+7/8*$R142),($B143+1631/55296*$D143*$R142+175/512*$E143*$R142 +575/13824*$F143*$R142+44275/110592*$G143*$R142+253/4096*$H143*$R142))</f>
        <v>-0.91721048203435784</v>
      </c>
      <c r="J143" s="32">
        <f t="shared" si="70"/>
        <v>1.7668268464521868</v>
      </c>
      <c r="K143" s="35">
        <f t="shared" si="71"/>
        <v>1.7668295278107611</v>
      </c>
      <c r="L143" s="32">
        <f t="shared" si="72"/>
        <v>1.867330540300584</v>
      </c>
      <c r="M143" s="32">
        <f t="shared" si="67"/>
        <v>-2.6813585742857526E-6</v>
      </c>
      <c r="N143" s="32">
        <v>9.9999999999999995E-7</v>
      </c>
      <c r="O143" s="32">
        <f t="shared" si="68"/>
        <v>1.867330540300584E-6</v>
      </c>
      <c r="P143" s="1">
        <f t="shared" si="69"/>
        <v>0.2</v>
      </c>
      <c r="Q143" s="1">
        <v>3.8</v>
      </c>
      <c r="R143" s="33">
        <f t="shared" si="73"/>
        <v>0.36595974371058587</v>
      </c>
    </row>
    <row r="144" spans="1:18" ht="15" thickBot="1" x14ac:dyDescent="0.35">
      <c r="A144" s="34">
        <f t="shared" si="76"/>
        <v>2.2303725821260647</v>
      </c>
      <c r="B144" s="1">
        <f t="shared" si="77"/>
        <v>1.7668295278107611</v>
      </c>
      <c r="C144" s="1" cm="1">
        <f t="array" ref="C144">Add(A144, B144)</f>
        <v>-0.97072000498484301</v>
      </c>
      <c r="D144" s="1" cm="1">
        <f t="array" ref="D144">Add(A144,B144)</f>
        <v>-0.97072000498484301</v>
      </c>
      <c r="E144" s="1" cm="1">
        <f t="array" ref="E144">Add((A144+1/5*$R143),(B144+1/5*D144*$R143))</f>
        <v>-1.0146976760310682</v>
      </c>
      <c r="F144" s="1" cm="1">
        <f t="array" ref="F144">Add(($A144+3/10*$R143),($B144+3/40*$D144*$R143+9/40*$E144*$R143))</f>
        <v>-0.99363969363868465</v>
      </c>
      <c r="G144" s="1" cm="1">
        <f t="array" ref="G144">Add(($A144+3/5*$R143),($B144+3/10*$D144*$R143-9/10*$E144*$R143 + 6/5*$F144*$R143))</f>
        <v>-0.93486122269485306</v>
      </c>
      <c r="H144" s="1" cm="1">
        <f t="array" ref="H144">Add(($A144+$R143),($B144-11/54*$D144*$R143+5/2*$E144*$R143 -70/27*$F144*$R143+35/27*$G144*$R143))</f>
        <v>-0.84606414906482552</v>
      </c>
      <c r="I144" s="1" cm="1">
        <f t="array" ref="I144">Add(($A144+7/8*$R143),($B144+1631/55296*$D144*$R143+175/512*$E144*$R143 +575/13824*$F144*$R143+44275/110592*$G144*$R143+253/4096*$H144*$R143))</f>
        <v>-0.87492739102202211</v>
      </c>
      <c r="J144" s="32">
        <f t="shared" si="70"/>
        <v>1.421104782634194</v>
      </c>
      <c r="K144" s="35">
        <f t="shared" si="71"/>
        <v>1.4212202548180473</v>
      </c>
      <c r="L144" s="32">
        <f t="shared" si="72"/>
        <v>1.7332858949436825</v>
      </c>
      <c r="M144" s="32">
        <f t="shared" si="67"/>
        <v>-1.1547218385321578E-4</v>
      </c>
      <c r="N144" s="32">
        <v>9.9999999999999995E-7</v>
      </c>
      <c r="O144" s="32">
        <f t="shared" si="68"/>
        <v>1.7332858949436824E-6</v>
      </c>
      <c r="P144" s="1">
        <f t="shared" si="69"/>
        <v>0.2</v>
      </c>
      <c r="Q144" s="1">
        <v>4.8</v>
      </c>
      <c r="R144" s="33">
        <f t="shared" si="73"/>
        <v>0.75849568912349674</v>
      </c>
    </row>
    <row r="145" spans="1:18" ht="15" thickBot="1" x14ac:dyDescent="0.35">
      <c r="A145" s="34">
        <f t="shared" ref="A145:A156" si="78">A144+R143</f>
        <v>2.5963323258366504</v>
      </c>
      <c r="B145" s="1">
        <f t="shared" ref="B145:B156" si="79">K144</f>
        <v>1.4212202548180473</v>
      </c>
      <c r="C145" s="1" cm="1">
        <f t="array" ref="C145">Add(A145, B145)</f>
        <v>-0.8527321528906413</v>
      </c>
      <c r="D145" s="1" cm="1">
        <f t="array" ref="D145">Add(A145,B145)</f>
        <v>-0.8527321528906413</v>
      </c>
      <c r="E145" s="1" cm="1">
        <f t="array" ref="E145">Add((A145+1/5*$R144),(B145+1/5*D145*$R144))</f>
        <v>-0.77511691345748235</v>
      </c>
      <c r="F145" s="1" cm="1">
        <f t="array" ref="F145">Add(($A145+3/10*$R144),($B145+3/40*$D145*$R144+9/40*$E145*$R144))</f>
        <v>-0.7442568550510551</v>
      </c>
      <c r="G145" s="1" cm="1">
        <f t="array" ref="G145">Add(($A145+3/5*$R144),($B145+3/10*$D145*$R144-9/10*$E145*$R144 + 6/5*$F145*$R144))</f>
        <v>-0.647336382316961</v>
      </c>
      <c r="H145" s="1" cm="1">
        <f t="array" ref="H145">Add(($A145+$R144),($B145-11/54*$D145*$R144+5/2*$E145*$R144 -70/27*$F145*$R144+35/27*$G145*$R144))</f>
        <v>-0.54614552636931357</v>
      </c>
      <c r="I145" s="1" cm="1">
        <f t="array" ref="I145">Add(($A145+7/8*$R144),($B145+1631/55296*$D145*$R144+175/512*$E145*$R144 +575/13824*$F145*$R144+44275/110592*$G145*$R144+253/4096*$H145*$R144))</f>
        <v>-0.57333253121042149</v>
      </c>
      <c r="J145" s="32">
        <f t="shared" ref="J145:J156" si="80">B145+(37/378*D145+250/621*F145+125/594*G145+512/1771*I145)*$R144</f>
        <v>0.90160179489526926</v>
      </c>
      <c r="K145" s="35">
        <f t="shared" ref="K145:K156" si="81">B145+(2825/27648*D145+18575/48384*F145+13525/55296*G145+277/14336*H145+1/4*I145)*R144</f>
        <v>0.90159340579892966</v>
      </c>
      <c r="L145" s="32">
        <f t="shared" si="72"/>
        <v>1.3119062327833255</v>
      </c>
      <c r="M145" s="32">
        <f t="shared" si="67"/>
        <v>8.3890963396004992E-6</v>
      </c>
      <c r="N145" s="32">
        <v>9.9999999999999995E-7</v>
      </c>
      <c r="O145" s="32">
        <f t="shared" si="68"/>
        <v>1.3119062327833255E-6</v>
      </c>
      <c r="P145" s="1">
        <f t="shared" si="69"/>
        <v>0.25</v>
      </c>
      <c r="Q145" s="1">
        <v>5.8</v>
      </c>
      <c r="R145" s="33">
        <f t="shared" ref="R145:R156" si="82">$Q145*R144*ABS($O145/$M145)^$P145</f>
        <v>2.7664830507228166</v>
      </c>
    </row>
    <row r="146" spans="1:18" ht="15" thickBot="1" x14ac:dyDescent="0.35">
      <c r="A146" s="34">
        <f t="shared" si="78"/>
        <v>3.3548280149601473</v>
      </c>
      <c r="B146" s="1">
        <f t="shared" si="79"/>
        <v>0.90159340579892966</v>
      </c>
      <c r="C146" s="1" cm="1">
        <f t="array" ref="C146">Add(A146, B146)</f>
        <v>-0.54095604347935777</v>
      </c>
      <c r="D146" s="1" cm="1">
        <f t="array" ref="D146">Add(A146,B146)</f>
        <v>-0.54095604347935777</v>
      </c>
      <c r="E146" s="1" cm="1">
        <f t="array" ref="E146">Add((A146+1/5*$R145),(B146+1/5*D146*$R145))</f>
        <v>-0.36137055642275157</v>
      </c>
      <c r="F146" s="1" cm="1">
        <f t="array" ref="F146">Add(($A146+3/10*$R145),($B146+3/40*$D146*$R145+9/40*$E146*$R145))</f>
        <v>-0.33864854071766537</v>
      </c>
      <c r="G146" s="1" cm="1">
        <f t="array" ref="G146">Add(($A146+3/5*$R145),($B146+3/10*$D146*$R145-9/10*$E146*$R145 + 6/5*$F146*$R145))</f>
        <v>-0.13688647076215435</v>
      </c>
      <c r="H146" s="1" cm="1">
        <f t="array" ref="H146">Add(($A146+$R145),($B146-11/54*$D146*$R145+5/2*$E146*$R145 -70/27*$F146*$R145+35/27*$G146*$R145))</f>
        <v>-0.3870853046437075</v>
      </c>
      <c r="I146" s="1" cm="1">
        <f t="array" ref="I146">Add(($A146+7/8*$R145),($B146+1631/55296*$D146*$R145+175/512*$E146*$R145 +575/13824*$F146*$R145+44275/110592*$G146*$R145+253/4096*$H146*$R145))</f>
        <v>-0.15541623472538343</v>
      </c>
      <c r="J146" s="32">
        <f t="shared" si="80"/>
        <v>0.17395326688614265</v>
      </c>
      <c r="K146" s="35">
        <f t="shared" si="81"/>
        <v>0.16820408597774084</v>
      </c>
      <c r="L146" s="32">
        <f t="shared" si="72"/>
        <v>0.44740433772958688</v>
      </c>
      <c r="M146" s="32">
        <f t="shared" si="67"/>
        <v>5.7491809084018186E-3</v>
      </c>
      <c r="N146" s="32">
        <v>9.9999999999999995E-7</v>
      </c>
      <c r="O146" s="32">
        <f t="shared" si="68"/>
        <v>4.4740433772958686E-7</v>
      </c>
      <c r="P146" s="1">
        <f t="shared" si="69"/>
        <v>0.25</v>
      </c>
      <c r="Q146" s="1">
        <v>6.8</v>
      </c>
      <c r="R146" s="33">
        <f t="shared" si="82"/>
        <v>1.7668939367041703</v>
      </c>
    </row>
    <row r="147" spans="1:18" ht="15" thickBot="1" x14ac:dyDescent="0.35">
      <c r="A147" s="34">
        <f t="shared" si="78"/>
        <v>6.1213110656829635</v>
      </c>
      <c r="B147" s="1">
        <f t="shared" si="79"/>
        <v>0.16820408597774084</v>
      </c>
      <c r="C147" s="1" cm="1">
        <f t="array" ref="C147">Add(A147, B147)</f>
        <v>-0.10092245158664449</v>
      </c>
      <c r="D147" s="1" cm="1">
        <f t="array" ref="D147">Add(A147,B147)</f>
        <v>-0.10092245158664449</v>
      </c>
      <c r="E147" s="1" cm="1">
        <f t="array" ref="E147">Add((A147+1/5*$R146),(B147+1/5*D147*$R146))</f>
        <v>-7.9524139452353024E-2</v>
      </c>
      <c r="F147" s="1" cm="1">
        <f t="array" ref="F147">Add(($A147+3/10*$R146),($B147+3/40*$D147*$R146+9/40*$E147*$R146))</f>
        <v>-7.3929137360587968E-2</v>
      </c>
      <c r="G147" s="1" cm="1">
        <f t="array" ref="G147">Add(($A147+3/5*$R146),($B147+3/10*$D147*$R146-9/10*$E147*$R146 + 6/5*$F147*$R146))</f>
        <v>-5.0650812013297498E-2</v>
      </c>
      <c r="H147" s="1" cm="1">
        <f t="array" ref="H147">Add(($A147+$R146),($B147-11/54*$D147*$R146+5/2*$E147*$R146 -70/27*$F147*$R146+35/27*$G147*$R146))</f>
        <v>-4.5538386277894055E-2</v>
      </c>
      <c r="I147" s="1" cm="1">
        <f t="array" ref="I147">Add(($A147+7/8*$R146),($B147+1631/55296*$D147*$R146+175/512*$E147*$R146 +575/13824*$F147*$R146+44275/110592*$G147*$R146+253/4096*$H147*$R146))</f>
        <v>-4.1211818573318092E-2</v>
      </c>
      <c r="J147" s="32">
        <f t="shared" si="80"/>
        <v>5.8278451757660651E-2</v>
      </c>
      <c r="K147" s="35">
        <f t="shared" si="81"/>
        <v>5.8187306734796038E-2</v>
      </c>
      <c r="L147" s="32">
        <f t="shared" si="72"/>
        <v>0.11987378641251015</v>
      </c>
      <c r="M147" s="32">
        <f t="shared" si="67"/>
        <v>9.1145022864613789E-5</v>
      </c>
      <c r="N147" s="32">
        <v>9.9999999999999995E-7</v>
      </c>
      <c r="O147" s="32">
        <f t="shared" si="68"/>
        <v>1.1987378641251015E-7</v>
      </c>
      <c r="P147" s="1">
        <f t="shared" si="69"/>
        <v>0.25</v>
      </c>
      <c r="Q147" s="1">
        <v>7.8</v>
      </c>
      <c r="R147" s="33">
        <f t="shared" si="82"/>
        <v>2.6245382068479097</v>
      </c>
    </row>
    <row r="148" spans="1:18" ht="15" thickBot="1" x14ac:dyDescent="0.35">
      <c r="A148" s="34">
        <f t="shared" ref="A148:A154" si="83">A147+R146</f>
        <v>7.8882050023871333</v>
      </c>
      <c r="B148" s="1">
        <f t="shared" ref="B148:B154" si="84">K147</f>
        <v>5.8187306734796038E-2</v>
      </c>
      <c r="C148" s="1" cm="1">
        <f t="array" ref="C148">Add(A148, B148)</f>
        <v>-3.4912384040877618E-2</v>
      </c>
      <c r="D148" s="1" cm="1">
        <f t="array" ref="D148">Add(A148,B148)</f>
        <v>-3.4912384040877618E-2</v>
      </c>
      <c r="E148" s="1" cm="1">
        <f t="array" ref="E148">Add((A148+1/5*$R147),(B148+1/5*D148*$R147))</f>
        <v>-2.3916917743985959E-2</v>
      </c>
      <c r="F148" s="1" cm="1">
        <f t="array" ref="F148">Add(($A148+3/10*$R147),($B148+3/40*$D148*$R147+9/40*$E148*$R147))</f>
        <v>-2.2315017484310713E-2</v>
      </c>
      <c r="G148" s="1" cm="1">
        <f t="array" ref="G148">Add(($A148+3/5*$R147),($B148+3/10*$D148*$R147-9/10*$E148*$R147 + 6/5*$F148*$R147))</f>
        <v>-1.0147487875152388E-2</v>
      </c>
      <c r="H148" s="1" cm="1">
        <f t="array" ref="H148">Add(($A148+$R147),($B148-11/54*$D148*$R147+5/2*$E148*$R147 -70/27*$F148*$R147+35/27*$G148*$R147))</f>
        <v>-2.2344655271834636E-2</v>
      </c>
      <c r="I148" s="1" cm="1">
        <f t="array" ref="I148">Add(($A148+7/8*$R147),($B148+1631/55296*$D148*$R147+175/512*$E148*$R147 +575/13824*$F148*$R147+44275/110592*$G148*$R147+253/4096*$H148*$R147))</f>
        <v>-1.0385522967154283E-2</v>
      </c>
      <c r="J148" s="32">
        <f t="shared" ref="J148:J154" si="85">B148+(37/378*D148+250/621*F148+125/594*G148+512/1771*I148)*$R147</f>
        <v>1.2156206054555807E-2</v>
      </c>
      <c r="K148" s="35">
        <f t="shared" ref="K148:K154" si="86">B148+(2825/27648*D148+18575/48384*F148+13525/55296*G148+277/14336*H148+1/4*I148)*R147</f>
        <v>1.1879185726994868E-2</v>
      </c>
      <c r="L148" s="32">
        <f t="shared" si="72"/>
        <v>3.0585611811039103E-2</v>
      </c>
      <c r="M148" s="32">
        <f t="shared" si="67"/>
        <v>2.7702032756093953E-4</v>
      </c>
      <c r="N148" s="32">
        <v>9.9999999999999995E-7</v>
      </c>
      <c r="O148" s="32">
        <f t="shared" si="68"/>
        <v>3.0585611811039101E-8</v>
      </c>
      <c r="P148" s="1">
        <f t="shared" si="69"/>
        <v>0.25</v>
      </c>
      <c r="Q148" s="1">
        <v>8.8000000000000007</v>
      </c>
      <c r="R148" s="33">
        <f t="shared" ref="R148:R154" si="87">$Q148*R147*ABS($O148/$M148)^$P148</f>
        <v>2.3674834678307359</v>
      </c>
    </row>
    <row r="149" spans="1:18" ht="15" thickBot="1" x14ac:dyDescent="0.35">
      <c r="A149" s="34">
        <f t="shared" si="83"/>
        <v>10.512743209235044</v>
      </c>
      <c r="B149" s="1">
        <f t="shared" si="84"/>
        <v>1.1879185726994868E-2</v>
      </c>
      <c r="C149" s="1" cm="1">
        <f t="array" ref="C149">Add(A149, B149)</f>
        <v>-7.1275114361969202E-3</v>
      </c>
      <c r="D149" s="1" cm="1">
        <f t="array" ref="D149">Add(A149,B149)</f>
        <v>-7.1275114361969202E-3</v>
      </c>
      <c r="E149" s="1" cm="1">
        <f t="array" ref="E149">Add((A149+1/5*$R148),(B149+1/5*D149*$R148))</f>
        <v>-5.1025995771604351E-3</v>
      </c>
      <c r="F149" s="1" cm="1">
        <f t="array" ref="F149">Add(($A149+3/10*$R148),($B149+3/40*$D149*$R148+9/40*$E149*$R148))</f>
        <v>-4.7373262699034347E-3</v>
      </c>
      <c r="G149" s="1" cm="1">
        <f t="array" ref="G149">Add(($A149+3/5*$R148),($B149+3/10*$D149*$R148-9/10*$E149*$R148 + 6/5*$F149*$R148))</f>
        <v>-2.5383265537454337E-3</v>
      </c>
      <c r="H149" s="1" cm="1">
        <f t="array" ref="H149">Add(($A149+$R148),($B149-11/54*$D149*$R148+5/2*$E149*$R148 -70/27*$F149*$R148+35/27*$G149*$R148))</f>
        <v>-3.8418258608728818E-3</v>
      </c>
      <c r="I149" s="1" cm="1">
        <f t="array" ref="I149">Add(($A149+7/8*$R148),($B149+1631/55296*$D149*$R148+175/512*$E149*$R148 +575/13824*$F149*$R148+44275/110592*$G149*$R148+253/4096*$H149*$R148))</f>
        <v>-2.290973040306904E-3</v>
      </c>
      <c r="J149" s="32">
        <f t="shared" si="85"/>
        <v>2.879700125051449E-3</v>
      </c>
      <c r="K149" s="35">
        <f t="shared" si="86"/>
        <v>2.8477131171755488E-3</v>
      </c>
      <c r="L149" s="32">
        <f t="shared" si="72"/>
        <v>6.8928613527982543E-3</v>
      </c>
      <c r="M149" s="32">
        <f t="shared" si="67"/>
        <v>3.1987007875900267E-5</v>
      </c>
      <c r="N149" s="32">
        <v>9.9999999999999995E-7</v>
      </c>
      <c r="O149" s="32">
        <f t="shared" si="68"/>
        <v>6.8928613527982541E-9</v>
      </c>
      <c r="P149" s="1">
        <f t="shared" si="69"/>
        <v>0.25</v>
      </c>
      <c r="Q149" s="1">
        <v>9.8000000000000007</v>
      </c>
      <c r="R149" s="33">
        <f t="shared" si="87"/>
        <v>2.8110560950487677</v>
      </c>
    </row>
    <row r="150" spans="1:18" ht="15" thickBot="1" x14ac:dyDescent="0.35">
      <c r="A150" s="34">
        <f t="shared" si="83"/>
        <v>12.88022667706578</v>
      </c>
      <c r="B150" s="1">
        <f t="shared" si="84"/>
        <v>2.8477131171755488E-3</v>
      </c>
      <c r="C150" s="1" cm="1">
        <f t="array" ref="C150">Add(A150, B150)</f>
        <v>-1.7086278703053292E-3</v>
      </c>
      <c r="D150" s="1" cm="1">
        <f t="array" ref="D150">Add(A150,B150)</f>
        <v>-1.7086278703053292E-3</v>
      </c>
      <c r="E150" s="1" cm="1">
        <f t="array" ref="E150">Add((A150+1/5*$R149),(B150+1/5*D150*$R149))</f>
        <v>-1.1322620156262904E-3</v>
      </c>
      <c r="F150" s="1" cm="1">
        <f t="array" ref="F150">Add(($A150+3/10*$R149),($B150+3/40*$D150*$R149+9/40*$E150*$R149))</f>
        <v>-1.0628056493711938E-3</v>
      </c>
      <c r="G150" s="1" cm="1">
        <f t="array" ref="G150">Add(($A150+3/5*$R149),($B150+3/10*$D150*$R149-9/10*$E150*$R149 + 6/5*$F150*$R149))</f>
        <v>-4.1174265507240066E-4</v>
      </c>
      <c r="H150" s="1" cm="1">
        <f t="array" ref="H150">Add(($A150+$R149),($B150-11/54*$D150*$R149+5/2*$E150*$R149 -70/27*$F150*$R149+35/27*$G150*$R149))</f>
        <v>-1.2685520262222165E-3</v>
      </c>
      <c r="I150" s="1" cm="1">
        <f t="array" ref="I150">Add(($A150+7/8*$R149),($B150+1631/55296*$D150*$R149+175/512*$E150*$R149 +575/13824*$F150*$R149+44275/110592*$G150*$R149+253/4096*$H150*$R149))</f>
        <v>-4.8615186650801322E-4</v>
      </c>
      <c r="J150" s="32">
        <f t="shared" si="85"/>
        <v>5.3617897030354932E-4</v>
      </c>
      <c r="K150" s="35">
        <f t="shared" si="86"/>
        <v>5.1633346899703338E-4</v>
      </c>
      <c r="L150" s="32">
        <f t="shared" si="72"/>
        <v>1.3871988760581042E-3</v>
      </c>
      <c r="M150" s="32">
        <f t="shared" si="67"/>
        <v>1.9845501306515936E-5</v>
      </c>
      <c r="N150" s="32">
        <v>9.9999999999999995E-7</v>
      </c>
      <c r="O150" s="32">
        <f t="shared" si="68"/>
        <v>1.3871988760581042E-9</v>
      </c>
      <c r="P150" s="1">
        <f t="shared" si="69"/>
        <v>0.25</v>
      </c>
      <c r="Q150" s="1">
        <v>10.8</v>
      </c>
      <c r="R150" s="33">
        <f t="shared" si="87"/>
        <v>2.7759550609929127</v>
      </c>
    </row>
    <row r="151" spans="1:18" ht="15" thickBot="1" x14ac:dyDescent="0.35">
      <c r="A151" s="34">
        <f t="shared" si="83"/>
        <v>15.691282772114548</v>
      </c>
      <c r="B151" s="1">
        <f t="shared" si="84"/>
        <v>5.1633346899703338E-4</v>
      </c>
      <c r="C151" s="1" cm="1">
        <f t="array" ref="C151">Add(A151, B151)</f>
        <v>-3.0980008139822003E-4</v>
      </c>
      <c r="D151" s="1" cm="1">
        <f t="array" ref="D151">Add(A151,B151)</f>
        <v>-3.0980008139822003E-4</v>
      </c>
      <c r="E151" s="1" cm="1">
        <f t="array" ref="E151">Add((A151+1/5*$R150),(B151+1/5*D151*$R150))</f>
        <v>-2.0660114893581138E-4</v>
      </c>
      <c r="F151" s="1" cm="1">
        <f t="array" ref="F151">Add(($A151+3/10*$R150),($B151+3/40*$D151*$R150+9/40*$E151*$R150))</f>
        <v>-1.9367588855044913E-4</v>
      </c>
      <c r="G151" s="1" cm="1">
        <f t="array" ref="G151">Add(($A151+3/5*$R150),($B151+3/10*$D151*$R150-9/10*$E151*$R150 + 6/5*$F151*$R150))</f>
        <v>-7.7602450032056508E-5</v>
      </c>
      <c r="H151" s="1" cm="1">
        <f t="array" ref="H151">Add(($A151+$R150),($B151-11/54*$D151*$R150+5/2*$E151*$R150 -70/27*$F151*$R150+35/27*$G151*$R150))</f>
        <v>-2.2340923491080648E-4</v>
      </c>
      <c r="I151" s="1" cm="1">
        <f t="array" ref="I151">Add(($A151+7/8*$R150),($B151+1631/55296*$D151*$R150+175/512*$E151*$R150 +575/13824*$F151*$R150+44275/110592*$G151*$R150+253/4096*$H151*$R150))</f>
        <v>-8.8817712736156187E-5</v>
      </c>
      <c r="J151" s="32">
        <f t="shared" si="85"/>
        <v>9.910302576621188E-5</v>
      </c>
      <c r="K151" s="35">
        <f t="shared" si="86"/>
        <v>9.5747416218059181E-5</v>
      </c>
      <c r="L151" s="32">
        <f t="shared" si="72"/>
        <v>2.5522173099456894E-4</v>
      </c>
      <c r="M151" s="32">
        <f t="shared" si="67"/>
        <v>3.3556095481526997E-6</v>
      </c>
      <c r="N151" s="32">
        <v>9.9999999999999995E-7</v>
      </c>
      <c r="O151" s="32">
        <f t="shared" si="68"/>
        <v>2.5522173099456891E-10</v>
      </c>
      <c r="P151" s="1">
        <f t="shared" si="69"/>
        <v>0.25</v>
      </c>
      <c r="Q151" s="1">
        <v>11.8</v>
      </c>
      <c r="R151" s="33">
        <f t="shared" si="87"/>
        <v>3.0590106965080137</v>
      </c>
    </row>
    <row r="152" spans="1:18" ht="15" thickBot="1" x14ac:dyDescent="0.35">
      <c r="A152" s="34">
        <f t="shared" si="83"/>
        <v>18.467237833107461</v>
      </c>
      <c r="B152" s="1">
        <f t="shared" si="84"/>
        <v>9.5747416218059181E-5</v>
      </c>
      <c r="C152" s="1" cm="1">
        <f t="array" ref="C152">Add(A152, B152)</f>
        <v>-5.7448449730835508E-5</v>
      </c>
      <c r="D152" s="1" cm="1">
        <f t="array" ref="D152">Add(A152,B152)</f>
        <v>-5.7448449730835508E-5</v>
      </c>
      <c r="E152" s="1" cm="1">
        <f t="array" ref="E152">Add((A152+1/5*$R151),(B152+1/5*D152*$R151))</f>
        <v>-3.6360199063904057E-5</v>
      </c>
      <c r="F152" s="1" cm="1">
        <f t="array" ref="F152">Add(($A152+3/10*$R151),($B152+3/40*$D152*$R151+9/40*$E152*$R151))</f>
        <v>-3.4524813619144385E-5</v>
      </c>
      <c r="G152" s="1" cm="1">
        <f t="array" ref="G152">Add(($A152+3/5*$R151),($B152+3/10*$D152*$R151-9/10*$E152*$R151 + 6/5*$F152*$R151))</f>
        <v>-9.837764784551749E-6</v>
      </c>
      <c r="H152" s="1" cm="1">
        <f t="array" ref="H152">Add(($A152+$R151),($B152-11/54*$D152*$R151+5/2*$E152*$R151 -70/27*$F152*$R151+35/27*$G152*$R151))</f>
        <v>-5.2966538345356399E-5</v>
      </c>
      <c r="I152" s="1" cm="1">
        <f t="array" ref="I152">Add(($A152+7/8*$R151),($B152+1631/55296*$D152*$R151+175/512*$E152*$R151 +575/13824*$F152*$R151+44275/110592*$G152*$R151+253/4096*$H152*$R151))</f>
        <v>-1.565909799053203E-5</v>
      </c>
      <c r="J152" s="32">
        <f t="shared" si="85"/>
        <v>1.5847722056385426E-5</v>
      </c>
      <c r="K152" s="35">
        <f t="shared" si="86"/>
        <v>1.4779320050125699E-5</v>
      </c>
      <c r="L152" s="32">
        <f t="shared" si="72"/>
        <v>4.1905378922395617E-5</v>
      </c>
      <c r="M152" s="32">
        <f t="shared" si="67"/>
        <v>1.0684020062597262E-6</v>
      </c>
      <c r="N152" s="32">
        <v>9.9999999999999995E-7</v>
      </c>
      <c r="O152" s="32">
        <f t="shared" si="68"/>
        <v>4.1905378922395616E-11</v>
      </c>
      <c r="P152" s="1">
        <f t="shared" si="69"/>
        <v>0.25</v>
      </c>
      <c r="Q152" s="1">
        <v>12.8</v>
      </c>
      <c r="R152" s="33">
        <f t="shared" si="87"/>
        <v>3.0986657691481239</v>
      </c>
    </row>
    <row r="153" spans="1:18" ht="15" thickBot="1" x14ac:dyDescent="0.35">
      <c r="A153" s="34">
        <f t="shared" si="83"/>
        <v>21.526248529615476</v>
      </c>
      <c r="B153" s="1">
        <f t="shared" si="84"/>
        <v>1.4779320050125699E-5</v>
      </c>
      <c r="C153" s="1" cm="1">
        <f t="array" ref="C153">Add(A153, B153)</f>
        <v>-8.8675920300754187E-6</v>
      </c>
      <c r="D153" s="1" cm="1">
        <f t="array" ref="D153">Add(A153,B153)</f>
        <v>-8.8675920300754187E-6</v>
      </c>
      <c r="E153" s="1" cm="1">
        <f t="array" ref="E153">Add((A153+1/5*$R152),(B153+1/5*D153*$R152))</f>
        <v>-5.5702675646715687E-6</v>
      </c>
      <c r="F153" s="1" cm="1">
        <f t="array" ref="F153">Add(($A153+3/10*$R152),($B153+3/40*$D153*$R152+9/40*$E153*$R152))</f>
        <v>-5.3009417028170524E-6</v>
      </c>
      <c r="G153" s="1" cm="1">
        <f t="array" ref="G153">Add(($A153+3/5*$R152),($B153+3/10*$D153*$R152-9/10*$E153*$R152 + 6/5*$F153*$R152))</f>
        <v>-1.4156103917836816E-6</v>
      </c>
      <c r="H153" s="1" cm="1">
        <f t="array" ref="H153">Add(($A153+$R152),($B153-11/54*$D153*$R152+5/2*$E153*$R152 -70/27*$F153*$R152+35/27*$G153*$R152))</f>
        <v>-8.4749739335734197E-6</v>
      </c>
      <c r="I153" s="1" cm="1">
        <f t="array" ref="I153">Add(($A153+7/8*$R152),($B153+1631/55296*$D153*$R152+175/512*$E153*$R152 +575/13824*$F153*$R152+44275/110592*$G153*$R152+253/4096*$H153*$R152))</f>
        <v>-2.4047215791846808E-6</v>
      </c>
      <c r="J153" s="32">
        <f t="shared" si="85"/>
        <v>2.3997337542699447E-6</v>
      </c>
      <c r="K153" s="35">
        <f t="shared" si="86"/>
        <v>2.222527283803893E-6</v>
      </c>
      <c r="L153" s="32">
        <f t="shared" si="72"/>
        <v>6.3546488129964213E-6</v>
      </c>
      <c r="M153" s="32">
        <f t="shared" si="67"/>
        <v>1.7720647046605165E-7</v>
      </c>
      <c r="N153" s="32">
        <v>9.9999999999999995E-7</v>
      </c>
      <c r="O153" s="32">
        <f t="shared" si="68"/>
        <v>6.3546488129964214E-12</v>
      </c>
      <c r="P153" s="1">
        <f t="shared" si="69"/>
        <v>0.25</v>
      </c>
      <c r="Q153" s="1">
        <v>13.8</v>
      </c>
      <c r="R153" s="33">
        <f t="shared" si="87"/>
        <v>3.3090765629801302</v>
      </c>
    </row>
    <row r="154" spans="1:18" ht="15" thickBot="1" x14ac:dyDescent="0.35">
      <c r="A154" s="34">
        <f t="shared" si="83"/>
        <v>24.624914298763599</v>
      </c>
      <c r="B154" s="1">
        <f t="shared" si="84"/>
        <v>2.222527283803893E-6</v>
      </c>
      <c r="C154" s="1" cm="1">
        <f t="array" ref="C154">Add(A154, B154)</f>
        <v>-1.3335163702823357E-6</v>
      </c>
      <c r="D154" s="1" cm="1">
        <f t="array" ref="D154">Add(A154,B154)</f>
        <v>-1.3335163702823357E-6</v>
      </c>
      <c r="E154" s="1" cm="1">
        <f t="array" ref="E154">Add((A154+1/5*$R153),(B154+1/5*D154*$R153))</f>
        <v>-8.0399143821214259E-7</v>
      </c>
      <c r="F154" s="1" cm="1">
        <f t="array" ref="F154">Add(($A154+3/10*$R153),($B154+3/40*$D154*$R153+9/40*$E154*$R153))</f>
        <v>-7.7578117537770751E-7</v>
      </c>
      <c r="G154" s="1" cm="1">
        <f t="array" ref="G154">Add(($A154+3/5*$R153),($B154+3/10*$D154*$R153-9/10*$E154*$R153 + 6/5*$F154*$R153))</f>
        <v>-1.2755645377091373E-7</v>
      </c>
      <c r="H154" s="1" cm="1">
        <f t="array" ref="H154">Add(($A154+$R153),($B154-11/54*$D154*$R153+5/2*$E154*$R153 -70/27*$F154*$R153+35/27*$G154*$R153))</f>
        <v>-1.5471447903872859E-6</v>
      </c>
      <c r="I154" s="1" cm="1">
        <f t="array" ref="I154">Add(($A154+7/8*$R153),($B154+1631/55296*$D154*$R153+175/512*$E154*$R153 +575/13824*$F154*$R153+44275/110592*$G154*$R153+253/4096*$H154*$R153))</f>
        <v>-3.5462595496405704E-7</v>
      </c>
      <c r="J154" s="32">
        <f t="shared" si="85"/>
        <v>3.290522482273851E-7</v>
      </c>
      <c r="K154" s="35">
        <f t="shared" si="86"/>
        <v>2.9057751387530593E-7</v>
      </c>
      <c r="L154" s="32">
        <f t="shared" si="72"/>
        <v>8.6750345841159099E-7</v>
      </c>
      <c r="M154" s="32">
        <f t="shared" si="67"/>
        <v>3.8474734352079164E-8</v>
      </c>
      <c r="N154" s="32">
        <v>9.9999999999999995E-7</v>
      </c>
      <c r="O154" s="32">
        <f t="shared" si="68"/>
        <v>8.6750345841159093E-13</v>
      </c>
      <c r="P154" s="1">
        <f t="shared" si="69"/>
        <v>0.25</v>
      </c>
      <c r="Q154" s="1">
        <v>14.8</v>
      </c>
      <c r="R154" s="33">
        <f t="shared" si="87"/>
        <v>3.3747563817923281</v>
      </c>
    </row>
    <row r="155" spans="1:18" ht="15" thickBot="1" x14ac:dyDescent="0.35">
      <c r="A155" s="34">
        <f t="shared" ref="A155:A163" si="88">A154+R153</f>
        <v>27.93399086174373</v>
      </c>
      <c r="B155" s="1">
        <f t="shared" ref="B155:B163" si="89">K154</f>
        <v>2.9057751387530593E-7</v>
      </c>
      <c r="C155" s="1" cm="1">
        <f t="array" ref="C155">Add(A155, B155)</f>
        <v>-1.7434650832518355E-7</v>
      </c>
      <c r="D155" s="1" cm="1">
        <f t="array" ref="D155">Add(A155,B155)</f>
        <v>-1.7434650832518355E-7</v>
      </c>
      <c r="E155" s="1" cm="1">
        <f t="array" ref="E155">Add((A155+1/5*$R154),(B155+1/5*D155*$R154))</f>
        <v>-1.0374126933154886E-7</v>
      </c>
      <c r="F155" s="1" cm="1">
        <f t="array" ref="F155">Add(($A155+3/10*$R154),($B155+3/40*$D155*$R154+9/40*$E155*$R154))</f>
        <v>-1.0060583975376659E-7</v>
      </c>
      <c r="G155" s="1" cm="1">
        <f t="array" ref="G155">Add(($A155+3/5*$R154),($B155+3/10*$D155*$R154-9/10*$E155*$R154 + 6/5*$F155*$R154))</f>
        <v>-1.3038921806635382E-8</v>
      </c>
      <c r="H155" s="1" cm="1">
        <f t="array" ref="H155">Add(($A155+$R154),($B155-11/54*$D155*$R154+5/2*$E155*$R154 -70/27*$F155*$R154+35/27*$G155*$R154))</f>
        <v>-2.1502481948168931E-7</v>
      </c>
      <c r="I155" s="1" cm="1">
        <f t="array" ref="I155">Add(($A155+7/8*$R154),($B155+1631/55296*$D155*$R154+175/512*$E155*$R154 +575/13824*$F155*$R154+44275/110592*$G155*$R154+253/4096*$H155*$R154))</f>
        <v>-4.6199180241397164E-8</v>
      </c>
      <c r="J155" s="32">
        <f t="shared" ref="J155:J163" si="90">B155+(37/378*D155+250/621*F155+125/594*G155+512/1771*I155)*$R154</f>
        <v>4.196807028618166E-8</v>
      </c>
      <c r="K155" s="35">
        <f t="shared" ref="K155:K163" si="91">B155+(2825/27648*D155+18575/48384*F155+13525/55296*G155+277/14336*H155+1/4*I155)*R154</f>
        <v>3.6352483817528552E-8</v>
      </c>
      <c r="L155" s="32">
        <f t="shared" si="72"/>
        <v>1.0996094987185264E-7</v>
      </c>
      <c r="M155" s="32">
        <f t="shared" si="67"/>
        <v>5.6155864686531083E-9</v>
      </c>
      <c r="N155" s="32">
        <v>9.9999999999999995E-7</v>
      </c>
      <c r="O155" s="32">
        <f t="shared" si="68"/>
        <v>1.0996094987185264E-13</v>
      </c>
      <c r="P155" s="1">
        <f t="shared" si="69"/>
        <v>0.25</v>
      </c>
      <c r="Q155" s="1">
        <v>15.8</v>
      </c>
      <c r="R155" s="33">
        <f t="shared" ref="R155:R163" si="92">$Q155*R154*ABS($O155/$M155)^$P155</f>
        <v>3.5469931944431519</v>
      </c>
    </row>
    <row r="156" spans="1:18" ht="15" thickBot="1" x14ac:dyDescent="0.35">
      <c r="A156" s="34">
        <f t="shared" si="88"/>
        <v>31.308747243536057</v>
      </c>
      <c r="B156" s="1">
        <f t="shared" si="89"/>
        <v>3.6352483817528552E-8</v>
      </c>
      <c r="C156" s="1" cm="1">
        <f t="array" ref="C156">Add(A156, B156)</f>
        <v>-2.181149029051713E-8</v>
      </c>
      <c r="D156" s="1" cm="1">
        <f t="array" ref="D156">Add(A156,B156)</f>
        <v>-2.181149029051713E-8</v>
      </c>
      <c r="E156" s="1" cm="1">
        <f t="array" ref="E156">Add((A156+1/5*$R155),(B156+1/5*D156*$R155))</f>
        <v>-1.2527665375981872E-8</v>
      </c>
      <c r="F156" s="1" cm="1">
        <f t="array" ref="F156">Add(($A156+3/10*$R155),($B156+3/40*$D156*$R155+9/40*$E156*$R155))</f>
        <v>-1.2331257530399122E-8</v>
      </c>
      <c r="G156" s="1" cm="1">
        <f t="array" ref="G156">Add(($A156+3/5*$R155),($B156+3/10*$D156*$R155-9/10*$E156*$R155 + 6/5*$F156*$R155))</f>
        <v>-3.8894827912228767E-10</v>
      </c>
      <c r="H156" s="1" cm="1">
        <f t="array" ref="H156">Add(($A156+$R155),($B156-11/54*$D156*$R155+5/2*$E156*$R155 -70/27*$F156*$R155+35/27*$G156*$R155))</f>
        <v>-3.1579170281936322E-8</v>
      </c>
      <c r="I156" s="1" cm="1">
        <f t="array" ref="I156">Add(($A156+7/8*$R155),($B156+1631/55296*$D156*$R155+175/512*$E156*$R155 +575/13824*$F156*$R155+44275/110592*$G156*$R155+253/4096*$H156*$R155))</f>
        <v>-5.7554072114435905E-9</v>
      </c>
      <c r="J156" s="32">
        <f t="shared" si="90"/>
        <v>4.9792871675047258E-9</v>
      </c>
      <c r="K156" s="35">
        <f t="shared" si="91"/>
        <v>4.0504919869208827E-9</v>
      </c>
      <c r="L156" s="32">
        <f t="shared" si="72"/>
        <v>1.2670732493973818E-8</v>
      </c>
      <c r="M156" s="32">
        <f t="shared" si="67"/>
        <v>9.2879518058384307E-10</v>
      </c>
      <c r="N156" s="32">
        <v>9.9999999999999995E-7</v>
      </c>
      <c r="O156" s="32">
        <f t="shared" si="68"/>
        <v>1.2670732493973818E-14</v>
      </c>
      <c r="P156" s="1">
        <f t="shared" si="69"/>
        <v>0.25</v>
      </c>
      <c r="Q156" s="1">
        <v>16.8</v>
      </c>
      <c r="R156" s="33">
        <f t="shared" si="92"/>
        <v>3.6215132555237526</v>
      </c>
    </row>
    <row r="157" spans="1:18" ht="15" thickBot="1" x14ac:dyDescent="0.35">
      <c r="A157" s="34">
        <f t="shared" si="88"/>
        <v>34.855740437979208</v>
      </c>
      <c r="B157" s="1">
        <f t="shared" si="89"/>
        <v>4.0504919869208827E-9</v>
      </c>
      <c r="C157" s="1" cm="1">
        <f t="array" ref="C157">Add(A157, B157)</f>
        <v>-2.4302951921525296E-9</v>
      </c>
      <c r="D157" s="1" cm="1">
        <f t="array" ref="D157">Add(A157,B157)</f>
        <v>-2.4302951921525296E-9</v>
      </c>
      <c r="E157" s="1" cm="1">
        <f t="array" ref="E157">Add((A157+1/5*$R156),(B157+1/5*D157*$R156))</f>
        <v>-1.3741336417666059E-9</v>
      </c>
      <c r="F157" s="1" cm="1">
        <f t="array" ref="F157">Add(($A157+3/10*$R156),($B157+3/40*$D157*$R156+9/40*$E157*$R156))</f>
        <v>-1.3624147789577579E-9</v>
      </c>
      <c r="G157" s="1" cm="1">
        <f t="array" ref="G157">Add(($A157+3/5*$R156),($B157+3/10*$D157*$R156-9/10*$E157*$R156 + 6/5*$F157*$R156))</f>
        <v>1.9150096918383369E-11</v>
      </c>
      <c r="H157" s="1" cm="1">
        <f t="array" ref="H157">Add(($A157+$R156),($B157-11/54*$D157*$R156+5/2*$E157*$R156 -70/27*$F157*$R156+35/27*$G157*$R156))</f>
        <v>-3.7704072531093967E-9</v>
      </c>
      <c r="I157" s="1" cm="1">
        <f t="array" ref="I157">Add(($A157+7/8*$R156),($B157+1631/55296*$D157*$R156+175/512*$E157*$R156 +575/13824*$F157*$R156+44275/110592*$G157*$R156+253/4096*$H157*$R156))</f>
        <v>-6.4145068509620994E-10</v>
      </c>
      <c r="J157" s="32">
        <f t="shared" si="90"/>
        <v>5.456743930267843E-10</v>
      </c>
      <c r="K157" s="35">
        <f t="shared" si="91"/>
        <v>4.2936466126851821E-10</v>
      </c>
      <c r="L157" s="32">
        <f t="shared" si="72"/>
        <v>1.3623345486109609E-9</v>
      </c>
      <c r="M157" s="32">
        <f t="shared" si="67"/>
        <v>1.1630973175826609E-10</v>
      </c>
      <c r="N157" s="32">
        <v>9.9999999999999995E-7</v>
      </c>
      <c r="O157" s="32">
        <f t="shared" si="68"/>
        <v>1.3623345486109609E-15</v>
      </c>
      <c r="P157" s="1">
        <f t="shared" si="69"/>
        <v>0.25</v>
      </c>
      <c r="Q157" s="1">
        <v>17.8</v>
      </c>
      <c r="R157" s="33">
        <f t="shared" si="92"/>
        <v>3.7711778167401677</v>
      </c>
    </row>
    <row r="158" spans="1:18" ht="15" thickBot="1" x14ac:dyDescent="0.35">
      <c r="A158" s="34">
        <f t="shared" si="88"/>
        <v>38.477253693502959</v>
      </c>
      <c r="B158" s="1">
        <f t="shared" si="89"/>
        <v>4.2936466126851821E-10</v>
      </c>
      <c r="C158" s="1" cm="1">
        <f t="array" ref="C158">Add(A158, B158)</f>
        <v>-2.5761879676111089E-10</v>
      </c>
      <c r="D158" s="1" cm="1">
        <f t="array" ref="D158">Add(A158,B158)</f>
        <v>-2.5761879676111089E-10</v>
      </c>
      <c r="E158" s="1" cm="1">
        <f t="array" ref="E158">Add((A158+1/5*$R157),(B158+1/5*D158*$R157))</f>
        <v>-1.4103564177861546E-10</v>
      </c>
      <c r="F158" s="1" cm="1">
        <f t="array" ref="F158">Add(($A158+3/10*$R157),($B158+3/40*$D158*$R157+9/40*$E158*$R157))</f>
        <v>-1.4209759835056943E-10</v>
      </c>
      <c r="G158" s="1" cm="1">
        <f t="array" ref="G158">Add(($A158+3/5*$R157),($B158+3/10*$D158*$R157-9/10*$E158*$R157 + 6/5*$F158*$R157))</f>
        <v>1.5876098256648954E-11</v>
      </c>
      <c r="H158" s="1" cm="1">
        <f t="array" ref="H158">Add(($A158+$R157),($B158-11/54*$D158*$R157+5/2*$E158*$R157 -70/27*$F158*$R157+35/27*$G158*$R157))</f>
        <v>-4.5870578213438187E-10</v>
      </c>
      <c r="I158" s="1" cm="1">
        <f t="array" ref="I158">Add(($A158+7/8*$R157),($B158+1631/55296*$D158*$R157+175/512*$E158*$R157 +575/13824*$F158*$R157+44275/110592*$G158*$R157+253/4096*$H158*$R157))</f>
        <v>-6.8248593770154619E-11</v>
      </c>
      <c r="J158" s="32">
        <f t="shared" si="90"/>
        <v>5.6728185245095632E-11</v>
      </c>
      <c r="K158" s="35">
        <f t="shared" si="91"/>
        <v>4.1245298102650115E-11</v>
      </c>
      <c r="L158" s="32">
        <f t="shared" si="72"/>
        <v>1.3457131005237979E-10</v>
      </c>
      <c r="M158" s="32">
        <f t="shared" si="67"/>
        <v>1.5482887142445517E-11</v>
      </c>
      <c r="N158" s="32">
        <v>9.9999999999999995E-7</v>
      </c>
      <c r="O158" s="32">
        <f t="shared" si="68"/>
        <v>1.3457131005237979E-16</v>
      </c>
      <c r="P158" s="1">
        <f t="shared" si="69"/>
        <v>0.25</v>
      </c>
      <c r="Q158" s="1">
        <v>18.8</v>
      </c>
      <c r="R158" s="33">
        <f t="shared" si="92"/>
        <v>3.8495502480094266</v>
      </c>
    </row>
    <row r="159" spans="1:18" ht="15" thickBot="1" x14ac:dyDescent="0.35">
      <c r="A159" s="34">
        <f t="shared" si="88"/>
        <v>42.24843151024313</v>
      </c>
      <c r="B159" s="1">
        <f t="shared" si="89"/>
        <v>4.1245298102650115E-11</v>
      </c>
      <c r="C159" s="1" cm="1">
        <f t="array" ref="C159">Add(A159, B159)</f>
        <v>-2.4747178861590067E-11</v>
      </c>
      <c r="D159" s="1" cm="1">
        <f t="array" ref="D159">Add(A159,B159)</f>
        <v>-2.4747178861590067E-11</v>
      </c>
      <c r="E159" s="1" cm="1">
        <f t="array" ref="E159">Add((A159+1/5*$R158),(B159+1/5*D159*$R158))</f>
        <v>-1.3315317838689947E-11</v>
      </c>
      <c r="F159" s="1" cm="1">
        <f t="array" ref="F159">Add(($A159+3/10*$R158),($B159+3/40*$D159*$R158+9/40*$E159*$R158))</f>
        <v>-1.3540402991088337E-11</v>
      </c>
      <c r="G159" s="1" cm="1">
        <f t="array" ref="G159">Add(($A159+3/5*$R158),($B159+3/10*$D159*$R158-9/10*$E159*$R158 + 6/5*$F159*$R158))</f>
        <v>2.2509131436973906E-12</v>
      </c>
      <c r="H159" s="1" cm="1">
        <f t="array" ref="H159">Add(($A159+$R158),($B159-11/54*$D159*$R158+5/2*$E159*$R158 -70/27*$F159*$R158+35/27*$G159*$R158))</f>
        <v>-4.7325706320926202E-11</v>
      </c>
      <c r="I159" s="1" cm="1">
        <f t="array" ref="I159">Add(($A159+7/8*$R158),($B159+1631/55296*$D159*$R158+175/512*$E159*$R158 +575/13824*$F159*$R158+44275/110592*$G159*$R158+253/4096*$H159*$R158))</f>
        <v>-6.5780851774449087E-12</v>
      </c>
      <c r="J159" s="32">
        <f t="shared" si="90"/>
        <v>5.438888516778723E-12</v>
      </c>
      <c r="K159" s="35">
        <f t="shared" si="91"/>
        <v>3.7689240447477468E-12</v>
      </c>
      <c r="L159" s="32">
        <f t="shared" si="72"/>
        <v>1.2474121539460174E-11</v>
      </c>
      <c r="M159" s="32">
        <f t="shared" si="67"/>
        <v>1.6699644720309762E-12</v>
      </c>
      <c r="N159" s="32">
        <v>9.9999999999999995E-7</v>
      </c>
      <c r="O159" s="32">
        <f t="shared" si="68"/>
        <v>1.2474121539460174E-17</v>
      </c>
      <c r="P159" s="1">
        <f t="shared" si="69"/>
        <v>0.25</v>
      </c>
      <c r="Q159" s="1">
        <v>19.8</v>
      </c>
      <c r="R159" s="33">
        <f t="shared" si="92"/>
        <v>3.9847480608097241</v>
      </c>
    </row>
    <row r="160" spans="1:18" ht="15" thickBot="1" x14ac:dyDescent="0.35">
      <c r="A160" s="34">
        <f t="shared" si="88"/>
        <v>46.097981758252558</v>
      </c>
      <c r="B160" s="1">
        <f t="shared" si="89"/>
        <v>3.7689240447477468E-12</v>
      </c>
      <c r="C160" s="1" cm="1">
        <f t="array" ref="C160">Add(A160, B160)</f>
        <v>-2.2613544268486481E-12</v>
      </c>
      <c r="D160" s="1" cm="1">
        <f t="array" ref="D160">Add(A160,B160)</f>
        <v>-2.2613544268486481E-12</v>
      </c>
      <c r="E160" s="1" cm="1">
        <f t="array" ref="E160">Add((A160+1/5*$R159),(B160+1/5*D160*$R159))</f>
        <v>-1.1800431067860117E-12</v>
      </c>
      <c r="F160" s="1" cm="1">
        <f t="array" ref="F160">Add(($A160+3/10*$R159),($B160+3/40*$D160*$R159+9/40*$E160*$R159))</f>
        <v>-1.2210691268311047E-12</v>
      </c>
      <c r="G160" s="1" cm="1">
        <f t="array" ref="G160">Add(($A160+3/5*$R159),($B160+3/10*$D160*$R159-9/10*$E160*$R159 + 6/5*$F160*$R159))</f>
        <v>3.2470837465259208E-13</v>
      </c>
      <c r="H160" s="1" cm="1">
        <f t="array" ref="H160">Add(($A160+$R159),($B160-11/54*$D160*$R159+5/2*$E160*$R159 -70/27*$F160*$R159+35/27*$G160*$R159))</f>
        <v>-4.8845735481430172E-12</v>
      </c>
      <c r="I160" s="1" cm="1">
        <f t="array" ref="I160">Add(($A160+7/8*$R159),($B160+1631/55296*$D160*$R159+175/512*$E160*$R159 +575/13824*$F160*$R159+44275/110592*$G160*$R159+253/4096*$H160*$R159))</f>
        <v>-6.0560115129484747E-13</v>
      </c>
      <c r="J160" s="32">
        <f t="shared" si="90"/>
        <v>5.027337690894217E-13</v>
      </c>
      <c r="K160" s="35">
        <f t="shared" si="91"/>
        <v>3.1735127398034115E-13</v>
      </c>
      <c r="L160" s="32">
        <f t="shared" si="72"/>
        <v>1.0760901981335371E-12</v>
      </c>
      <c r="M160" s="32">
        <f t="shared" si="67"/>
        <v>1.8538249510908056E-13</v>
      </c>
      <c r="N160" s="32">
        <v>9.9999999999999995E-7</v>
      </c>
      <c r="O160" s="32">
        <f t="shared" si="68"/>
        <v>1.0760901981335369E-18</v>
      </c>
      <c r="P160" s="1">
        <f t="shared" si="69"/>
        <v>0.25</v>
      </c>
      <c r="Q160" s="1">
        <v>20.8</v>
      </c>
      <c r="R160" s="33">
        <f t="shared" si="92"/>
        <v>4.0682645936216684</v>
      </c>
    </row>
    <row r="161" spans="1:18" ht="15" thickBot="1" x14ac:dyDescent="0.35">
      <c r="A161" s="34">
        <f t="shared" si="88"/>
        <v>50.08272981906228</v>
      </c>
      <c r="B161" s="1">
        <f t="shared" si="89"/>
        <v>3.1735127398034115E-13</v>
      </c>
      <c r="C161" s="1" cm="1">
        <f t="array" ref="C161">Add(A161, B161)</f>
        <v>-1.9041076438820469E-13</v>
      </c>
      <c r="D161" s="1" cm="1">
        <f t="array" ref="D161">Add(A161,B161)</f>
        <v>-1.9041076438820469E-13</v>
      </c>
      <c r="E161" s="1" cm="1">
        <f t="array" ref="E161">Add((A161+1/5*$R160),(B161+1/5*D161*$R160))</f>
        <v>-9.7453799867608177E-14</v>
      </c>
      <c r="F161" s="1" cm="1">
        <f t="array" ref="F161">Add(($A161+3/10*$R160),($B161+3/40*$D161*$R160+9/40*$E161*$R160))</f>
        <v>-1.020287438184179E-13</v>
      </c>
      <c r="G161" s="1" cm="1">
        <f t="array" ref="G161">Add(($A161+3/5*$R160),($B161+3/10*$D161*$R160-9/10*$E161*$R160 + 6/5*$F161*$R160))</f>
        <v>3.3789593620316486E-14</v>
      </c>
      <c r="H161" s="1" cm="1">
        <f t="array" ref="H161">Add(($A161+$R160),($B161-11/54*$D161*$R160+5/2*$E161*$R160 -70/27*$F161*$R160+35/27*$G161*$R160))</f>
        <v>-4.4298450175178857E-13</v>
      </c>
      <c r="I161" s="1" cm="1">
        <f t="array" ref="I161">Add(($A161+7/8*$R160),($B161+1631/55296*$D161*$R160+175/512*$E161*$R160 +575/13824*$F161*$R160+44275/110592*$G161*$R160+253/4096*$H161*$R160))</f>
        <v>-5.1266080500270965E-14</v>
      </c>
      <c r="J161" s="32">
        <f t="shared" si="90"/>
        <v>4.3056685492203418E-14</v>
      </c>
      <c r="K161" s="35">
        <f t="shared" si="91"/>
        <v>2.550827480601274E-14</v>
      </c>
      <c r="L161" s="32">
        <f t="shared" si="72"/>
        <v>8.7772921548616698E-14</v>
      </c>
      <c r="M161" s="32">
        <f t="shared" si="67"/>
        <v>1.7548410686190678E-14</v>
      </c>
      <c r="N161" s="32">
        <v>9.9999999999999995E-7</v>
      </c>
      <c r="O161" s="32">
        <f t="shared" si="68"/>
        <v>8.7772921548616689E-20</v>
      </c>
      <c r="P161" s="1">
        <f t="shared" si="69"/>
        <v>0.25</v>
      </c>
      <c r="Q161" s="1">
        <v>21.8</v>
      </c>
      <c r="R161" s="33">
        <f t="shared" si="92"/>
        <v>4.1941733438521949</v>
      </c>
    </row>
    <row r="162" spans="1:18" ht="15" thickBot="1" x14ac:dyDescent="0.35">
      <c r="A162" s="34">
        <f t="shared" si="88"/>
        <v>54.15099441268395</v>
      </c>
      <c r="B162" s="1">
        <f t="shared" si="89"/>
        <v>2.550827480601274E-14</v>
      </c>
      <c r="C162" s="1" cm="1">
        <f t="array" ref="C162">Add(A162, B162)</f>
        <v>-1.5304964883607645E-14</v>
      </c>
      <c r="D162" s="1" cm="1">
        <f t="array" ref="D162">Add(A162,B162)</f>
        <v>-1.5304964883607645E-14</v>
      </c>
      <c r="E162" s="1" cm="1">
        <f t="array" ref="E162">Add((A162+1/5*$R161),(B162+1/5*D162*$R161))</f>
        <v>-7.6019637943971125E-15</v>
      </c>
      <c r="F162" s="1" cm="1">
        <f t="array" ref="F162">Add(($A162+3/10*$R161),($B162+3/40*$D162*$R161+9/40*$E162*$R161))</f>
        <v>-8.1120056976560637E-15</v>
      </c>
      <c r="G162" s="1" cm="1">
        <f t="array" ref="G162">Add(($A162+3/5*$R161),($B162+3/10*$D162*$R161-9/10*$E162*$R161 + 6/5*$F162*$R161))</f>
        <v>3.528875445063687E-15</v>
      </c>
      <c r="H162" s="1" cm="1">
        <f t="array" ref="H162">Add(($A162+$R161),($B162-11/54*$D162*$R161+5/2*$E162*$R161 -70/27*$F162*$R161+35/27*$G162*$R161))</f>
        <v>-3.9761263296744468E-14</v>
      </c>
      <c r="I162" s="1" cm="1">
        <f t="array" ref="I162">Add(($A162+7/8*$R161),($B162+1631/55296*$D162*$R161+175/512*$E162*$R161 +575/13824*$F162*$R161+44275/110592*$G162*$R161+253/4096*$H162*$R161))</f>
        <v>-4.155943708975954E-15</v>
      </c>
      <c r="J162" s="32">
        <f t="shared" si="90"/>
        <v>3.6034000153072922E-15</v>
      </c>
      <c r="K162" s="35">
        <f t="shared" si="91"/>
        <v>1.927795862819995E-15</v>
      </c>
      <c r="L162" s="32">
        <f t="shared" si="72"/>
        <v>6.779101874956894E-15</v>
      </c>
      <c r="M162" s="32">
        <f t="shared" si="67"/>
        <v>1.6756041524872973E-15</v>
      </c>
      <c r="N162" s="32">
        <v>9.9999999999999995E-7</v>
      </c>
      <c r="O162" s="32">
        <f t="shared" si="68"/>
        <v>6.7791018749568943E-21</v>
      </c>
      <c r="P162" s="1">
        <f t="shared" si="69"/>
        <v>0.25</v>
      </c>
      <c r="Q162" s="1">
        <v>22.8</v>
      </c>
      <c r="R162" s="33">
        <f t="shared" si="92"/>
        <v>4.2887566639083579</v>
      </c>
    </row>
    <row r="163" spans="1:18" ht="15" thickBot="1" x14ac:dyDescent="0.35">
      <c r="A163" s="34">
        <f t="shared" si="88"/>
        <v>58.345167756536142</v>
      </c>
      <c r="B163" s="1">
        <f t="shared" si="89"/>
        <v>1.927795862819995E-15</v>
      </c>
      <c r="C163" s="1" cm="1">
        <f t="array" ref="C163">Add(A163, B163)</f>
        <v>-1.1566775176919969E-15</v>
      </c>
      <c r="D163" s="1" cm="1">
        <f t="array" ref="D163">Add(A163,B163)</f>
        <v>-1.1566775176919969E-15</v>
      </c>
      <c r="E163" s="1" cm="1">
        <f t="array" ref="E163">Add((A163+1/5*$R162),(B163+1/5*D163*$R162))</f>
        <v>-5.6139250825265335E-16</v>
      </c>
      <c r="F163" s="1" cm="1">
        <f t="array" ref="F163">Add(($A163+3/10*$R162),($B163+3/40*$D163*$R162+9/40*$E163*$R162))</f>
        <v>-6.0840939793927598E-16</v>
      </c>
      <c r="G163" s="1" cm="1">
        <f t="array" ref="G163">Add(($A163+3/5*$R162),($B163+3/10*$D163*$R162-9/10*$E163*$R162 + 6/5*$F163*$R162))</f>
        <v>3.1481533066865917E-16</v>
      </c>
      <c r="H163" s="1" cm="1">
        <f t="array" ref="H163">Add(($A163+$R162),($B163-11/54*$D163*$R162+5/2*$E163*$R162 -70/27*$F163*$R162+35/27*$G163*$R162))</f>
        <v>-3.2605439177129877E-15</v>
      </c>
      <c r="I163" s="1" cm="1">
        <f t="array" ref="I163">Add(($A163+7/8*$R162),($B163+1631/55296*$D163*$R162+175/512*$E163*$R162 +575/13824*$F163*$R162+44275/110592*$G163*$R162+253/4096*$H163*$R162))</f>
        <v>-3.1608100583675898E-16</v>
      </c>
      <c r="J163" s="32">
        <f t="shared" si="90"/>
        <v>2.8399360003142767E-16</v>
      </c>
      <c r="K163" s="35">
        <f t="shared" si="91"/>
        <v>1.4033497932529234E-16</v>
      </c>
      <c r="L163" s="32">
        <f t="shared" si="72"/>
        <v>0</v>
      </c>
      <c r="M163" s="32">
        <f t="shared" si="67"/>
        <v>1.4365862070613533E-16</v>
      </c>
      <c r="N163" s="32">
        <v>9.9999999999999995E-7</v>
      </c>
      <c r="O163" s="32">
        <f t="shared" si="68"/>
        <v>0</v>
      </c>
      <c r="P163" s="1">
        <f t="shared" si="69"/>
        <v>0.25</v>
      </c>
      <c r="Q163" s="1">
        <v>23.8</v>
      </c>
      <c r="R163" s="33">
        <f t="shared" si="92"/>
        <v>0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Preator</dc:creator>
  <cp:lastModifiedBy>Zach Preator</cp:lastModifiedBy>
  <dcterms:created xsi:type="dcterms:W3CDTF">2020-01-24T01:52:09Z</dcterms:created>
  <dcterms:modified xsi:type="dcterms:W3CDTF">2020-03-14T00:18:11Z</dcterms:modified>
</cp:coreProperties>
</file>